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svcorp-my.sharepoint.com/personal/wendel_santos1_dsv_com/Documents/Documents/code/case-id-barcode-generator/"/>
    </mc:Choice>
  </mc:AlternateContent>
  <xr:revisionPtr revIDLastSave="66" documentId="8_{33C33F29-AEF1-4D5A-A65C-4D1749FCB150}" xr6:coauthVersionLast="47" xr6:coauthVersionMax="47" xr10:uidLastSave="{5B92BD0C-D180-4B6B-B1DF-A4970A754053}"/>
  <bookViews>
    <workbookView xWindow="-120" yWindow="-120" windowWidth="29040" windowHeight="15720" activeTab="3" xr2:uid="{00000000-000D-0000-FFFF-FFFF00000000}"/>
  </bookViews>
  <sheets>
    <sheet name="Colar Pedido" sheetId="1" r:id="rId1"/>
    <sheet name="Colar Acompanhamento" sheetId="4" r:id="rId2"/>
    <sheet name="DB" sheetId="2" r:id="rId3"/>
    <sheet name="Imprimir" sheetId="3" r:id="rId4"/>
  </sheets>
  <definedNames>
    <definedName name="_xlnm._FilterDatabase" localSheetId="2" hidden="1">DB!$A$1:$B$108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4" i="3"/>
  <c r="B1" i="3"/>
  <c r="D1" i="3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4" i="3"/>
  <c r="B5" i="3"/>
  <c r="B6" i="3"/>
  <c r="D6" i="3" s="1"/>
  <c r="B7" i="3"/>
  <c r="B8" i="3"/>
  <c r="D8" i="3" s="1"/>
  <c r="B9" i="3"/>
  <c r="D9" i="3" s="1"/>
  <c r="B10" i="3"/>
  <c r="D10" i="3" s="1"/>
  <c r="B11" i="3"/>
  <c r="B12" i="3"/>
  <c r="B13" i="3"/>
  <c r="B14" i="3"/>
  <c r="B15" i="3"/>
  <c r="B16" i="3"/>
  <c r="D16" i="3" s="1"/>
  <c r="B17" i="3"/>
  <c r="D17" i="3" s="1"/>
  <c r="B18" i="3"/>
  <c r="D18" i="3" s="1"/>
  <c r="B19" i="3"/>
  <c r="B20" i="3"/>
  <c r="D20" i="3" s="1"/>
  <c r="B21" i="3"/>
  <c r="D21" i="3" s="1"/>
  <c r="B22" i="3"/>
  <c r="D22" i="3" s="1"/>
  <c r="B23" i="3"/>
  <c r="B24" i="3"/>
  <c r="D24" i="3" s="1"/>
  <c r="B25" i="3"/>
  <c r="D25" i="3" s="1"/>
  <c r="B26" i="3"/>
  <c r="D26" i="3" s="1"/>
  <c r="B27" i="3"/>
  <c r="B28" i="3"/>
  <c r="B29" i="3"/>
  <c r="B30" i="3"/>
  <c r="B31" i="3"/>
  <c r="B32" i="3"/>
  <c r="D32" i="3" s="1"/>
  <c r="B33" i="3"/>
  <c r="D33" i="3" s="1"/>
  <c r="B34" i="3"/>
  <c r="D34" i="3" s="1"/>
  <c r="B35" i="3"/>
  <c r="B36" i="3"/>
  <c r="D36" i="3" s="1"/>
  <c r="B37" i="3"/>
  <c r="D37" i="3" s="1"/>
  <c r="B38" i="3"/>
  <c r="D38" i="3" s="1"/>
  <c r="B39" i="3"/>
  <c r="B40" i="3"/>
  <c r="D40" i="3" s="1"/>
  <c r="B41" i="3"/>
  <c r="D41" i="3" s="1"/>
  <c r="B42" i="3"/>
  <c r="D42" i="3" s="1"/>
  <c r="B43" i="3"/>
  <c r="B44" i="3"/>
  <c r="B45" i="3"/>
  <c r="D84" i="3" s="1"/>
  <c r="B46" i="3"/>
  <c r="B47" i="3"/>
  <c r="B48" i="3"/>
  <c r="D48" i="3" s="1"/>
  <c r="B49" i="3"/>
  <c r="D49" i="3" s="1"/>
  <c r="B50" i="3"/>
  <c r="D50" i="3" s="1"/>
  <c r="B51" i="3"/>
  <c r="B52" i="3"/>
  <c r="D52" i="3" s="1"/>
  <c r="B53" i="3"/>
  <c r="D53" i="3" s="1"/>
  <c r="B54" i="3"/>
  <c r="D54" i="3" s="1"/>
  <c r="B55" i="3"/>
  <c r="D55" i="3" s="1"/>
  <c r="B56" i="3"/>
  <c r="B57" i="3"/>
  <c r="B58" i="3"/>
  <c r="D58" i="3" s="1"/>
  <c r="B59" i="3"/>
  <c r="D59" i="3" s="1"/>
  <c r="B60" i="3"/>
  <c r="D60" i="3" s="1"/>
  <c r="B61" i="3"/>
  <c r="D61" i="3" s="1"/>
  <c r="B62" i="3"/>
  <c r="B63" i="3"/>
  <c r="B64" i="3"/>
  <c r="B65" i="3"/>
  <c r="B66" i="3"/>
  <c r="B67" i="3"/>
  <c r="D67" i="3" s="1"/>
  <c r="B68" i="3"/>
  <c r="D68" i="3" s="1"/>
  <c r="B69" i="3"/>
  <c r="B70" i="3"/>
  <c r="D70" i="3" s="1"/>
  <c r="B71" i="3"/>
  <c r="D71" i="3" s="1"/>
  <c r="B72" i="3"/>
  <c r="D72" i="3" s="1"/>
  <c r="B73" i="3"/>
  <c r="D73" i="3" s="1"/>
  <c r="B74" i="3"/>
  <c r="D74" i="3" s="1"/>
  <c r="B75" i="3"/>
  <c r="D75" i="3" s="1"/>
  <c r="B76" i="3"/>
  <c r="B77" i="3"/>
  <c r="D77" i="3" s="1"/>
  <c r="B78" i="3"/>
  <c r="B79" i="3"/>
  <c r="B80" i="3"/>
  <c r="B81" i="3"/>
  <c r="B82" i="3"/>
  <c r="B83" i="3"/>
  <c r="B84" i="3"/>
  <c r="B85" i="3"/>
  <c r="D85" i="3" s="1"/>
  <c r="B86" i="3"/>
  <c r="B87" i="3"/>
  <c r="B88" i="3"/>
  <c r="B89" i="3"/>
  <c r="D89" i="3" s="1"/>
  <c r="B90" i="3"/>
  <c r="D90" i="3" s="1"/>
  <c r="B91" i="3"/>
  <c r="D91" i="3" s="1"/>
  <c r="B92" i="3"/>
  <c r="B93" i="3"/>
  <c r="D93" i="3" s="1"/>
  <c r="B94" i="3"/>
  <c r="B95" i="3"/>
  <c r="B96" i="3"/>
  <c r="B97" i="3"/>
  <c r="B98" i="3"/>
  <c r="B99" i="3"/>
  <c r="D99" i="3" s="1"/>
  <c r="B100" i="3"/>
  <c r="D100" i="3" s="1"/>
  <c r="B101" i="3"/>
  <c r="B4" i="3"/>
  <c r="D4" i="3" s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4" i="3"/>
  <c r="F1" i="3" l="1"/>
  <c r="D43" i="3"/>
  <c r="D27" i="3"/>
  <c r="D11" i="3"/>
  <c r="D57" i="3"/>
  <c r="D87" i="3"/>
  <c r="D39" i="3"/>
  <c r="D23" i="3"/>
  <c r="D7" i="3"/>
  <c r="D88" i="3"/>
  <c r="D101" i="3"/>
  <c r="D5" i="3"/>
  <c r="D51" i="3"/>
  <c r="D35" i="3"/>
  <c r="D19" i="3"/>
  <c r="D86" i="3"/>
  <c r="D66" i="3"/>
  <c r="D65" i="3"/>
  <c r="D80" i="3"/>
  <c r="D64" i="3"/>
  <c r="D96" i="3"/>
  <c r="D98" i="3"/>
  <c r="D81" i="3"/>
  <c r="D95" i="3"/>
  <c r="D79" i="3"/>
  <c r="D63" i="3"/>
  <c r="D47" i="3"/>
  <c r="D31" i="3"/>
  <c r="D15" i="3"/>
  <c r="D56" i="3"/>
  <c r="D69" i="3"/>
  <c r="D97" i="3"/>
  <c r="D94" i="3"/>
  <c r="D78" i="3"/>
  <c r="D62" i="3"/>
  <c r="D46" i="3"/>
  <c r="D30" i="3"/>
  <c r="D14" i="3"/>
  <c r="D83" i="3"/>
  <c r="D45" i="3"/>
  <c r="D29" i="3"/>
  <c r="D13" i="3"/>
  <c r="D82" i="3"/>
  <c r="D92" i="3"/>
  <c r="D76" i="3"/>
  <c r="D44" i="3"/>
  <c r="D28" i="3"/>
  <c r="D12" i="3"/>
</calcChain>
</file>

<file path=xl/sharedStrings.xml><?xml version="1.0" encoding="utf-8"?>
<sst xmlns="http://schemas.openxmlformats.org/spreadsheetml/2006/main" count="713" uniqueCount="230">
  <si>
    <t>Order Number</t>
  </si>
  <si>
    <t>Line #</t>
  </si>
  <si>
    <t>Case ID</t>
  </si>
  <si>
    <t>Lot</t>
  </si>
  <si>
    <t>Location</t>
  </si>
  <si>
    <t>LPN</t>
  </si>
  <si>
    <t>Owner</t>
  </si>
  <si>
    <t>Item</t>
  </si>
  <si>
    <t>Quantity</t>
  </si>
  <si>
    <t>Status</t>
  </si>
  <si>
    <t>Drop ID</t>
  </si>
  <si>
    <t>Wave</t>
  </si>
  <si>
    <t>Created by User</t>
  </si>
  <si>
    <t>QC Required</t>
  </si>
  <si>
    <t>00001</t>
  </si>
  <si>
    <t>BRARQBAT02</t>
  </si>
  <si>
    <t>Released</t>
  </si>
  <si>
    <t/>
  </si>
  <si>
    <t>764wesa</t>
  </si>
  <si>
    <t>No</t>
  </si>
  <si>
    <t>00002</t>
  </si>
  <si>
    <t>400.00000</t>
  </si>
  <si>
    <t>00003</t>
  </si>
  <si>
    <t>00004</t>
  </si>
  <si>
    <t>00005</t>
  </si>
  <si>
    <t>20.00000</t>
  </si>
  <si>
    <t>00006</t>
  </si>
  <si>
    <t>00007</t>
  </si>
  <si>
    <t>40.00000</t>
  </si>
  <si>
    <t>00008</t>
  </si>
  <si>
    <t>00009</t>
  </si>
  <si>
    <t>30.00000</t>
  </si>
  <si>
    <t>00010</t>
  </si>
  <si>
    <t>110.00000</t>
  </si>
  <si>
    <t>50.00000</t>
  </si>
  <si>
    <t>10226367</t>
  </si>
  <si>
    <t>10226461</t>
  </si>
  <si>
    <t>SKU</t>
  </si>
  <si>
    <t>Tamanho</t>
  </si>
  <si>
    <t>BOX</t>
  </si>
  <si>
    <t>SLEEVE P</t>
  </si>
  <si>
    <t>FUMO</t>
  </si>
  <si>
    <t>NINE</t>
  </si>
  <si>
    <t>SLIVE</t>
  </si>
  <si>
    <t>Box Type</t>
  </si>
  <si>
    <t>Barcode</t>
  </si>
  <si>
    <t>Pedido</t>
  </si>
  <si>
    <t>LS</t>
  </si>
  <si>
    <t>Local</t>
  </si>
  <si>
    <t>Tipo</t>
  </si>
  <si>
    <t>Embarque</t>
  </si>
  <si>
    <t>NF</t>
  </si>
  <si>
    <t>Prioridade</t>
  </si>
  <si>
    <t>OD</t>
  </si>
  <si>
    <t>Alocado</t>
  </si>
  <si>
    <t>Qtd Caixas</t>
  </si>
  <si>
    <t>Qtd Pallets</t>
  </si>
  <si>
    <t>Conversão</t>
  </si>
  <si>
    <t>Status Chamado</t>
  </si>
  <si>
    <t>Status Logix</t>
  </si>
  <si>
    <t>Faturada</t>
  </si>
  <si>
    <t>Conta e Ordem</t>
  </si>
  <si>
    <t>Valor Nota</t>
  </si>
  <si>
    <t>Obs</t>
  </si>
  <si>
    <t>Cachoeirinha</t>
  </si>
  <si>
    <t>Cigarro</t>
  </si>
  <si>
    <t>Sim</t>
  </si>
  <si>
    <t>Não</t>
  </si>
  <si>
    <t>NA</t>
  </si>
  <si>
    <t>Parceria</t>
  </si>
  <si>
    <t>Passo Fundo</t>
  </si>
  <si>
    <t>Itajaí</t>
  </si>
  <si>
    <t xml:space="preserve"> </t>
  </si>
  <si>
    <t>BLD074</t>
  </si>
  <si>
    <t>BLF079</t>
  </si>
  <si>
    <t>0000013942</t>
  </si>
  <si>
    <t>BLF026</t>
  </si>
  <si>
    <t>RECF05QS7387ARQ</t>
  </si>
  <si>
    <t>BLF051</t>
  </si>
  <si>
    <t>6878309021</t>
  </si>
  <si>
    <t>0000125351</t>
  </si>
  <si>
    <t>0000014742</t>
  </si>
  <si>
    <t>FR.01.01.01.02</t>
  </si>
  <si>
    <t>10226421</t>
  </si>
  <si>
    <t>0000001999</t>
  </si>
  <si>
    <t>0000125361</t>
  </si>
  <si>
    <t>0000014733</t>
  </si>
  <si>
    <t>BLE048</t>
  </si>
  <si>
    <t>REC99821044ARQ</t>
  </si>
  <si>
    <t>10242292</t>
  </si>
  <si>
    <t>0000125477</t>
  </si>
  <si>
    <t>0000014707</t>
  </si>
  <si>
    <t>BLE066</t>
  </si>
  <si>
    <t>REC99821059ARQ</t>
  </si>
  <si>
    <t>0000125478</t>
  </si>
  <si>
    <t>0000014731</t>
  </si>
  <si>
    <t>BLE069</t>
  </si>
  <si>
    <t>REC99821060ARQ</t>
  </si>
  <si>
    <t>0000125479</t>
  </si>
  <si>
    <t>0000014585</t>
  </si>
  <si>
    <t>REC01907296ARQ</t>
  </si>
  <si>
    <t>0000125480</t>
  </si>
  <si>
    <t>0000014545</t>
  </si>
  <si>
    <t>BLF054</t>
  </si>
  <si>
    <t>RECX72KOJ022ARQ</t>
  </si>
  <si>
    <t>0000125481</t>
  </si>
  <si>
    <t>0000014611</t>
  </si>
  <si>
    <t>RECX72KOJ023ARQ</t>
  </si>
  <si>
    <t>0000125482</t>
  </si>
  <si>
    <t>0000014596</t>
  </si>
  <si>
    <t>BLF056</t>
  </si>
  <si>
    <t>REC01907294ARQ</t>
  </si>
  <si>
    <t>0000125483</t>
  </si>
  <si>
    <t>0000014597</t>
  </si>
  <si>
    <t>REC01907293ARQ</t>
  </si>
  <si>
    <t>0000125484</t>
  </si>
  <si>
    <t>0000014552</t>
  </si>
  <si>
    <t>BLF070</t>
  </si>
  <si>
    <t>REC01907226ARQ</t>
  </si>
  <si>
    <t>0000125485</t>
  </si>
  <si>
    <t>0000014547</t>
  </si>
  <si>
    <t>BLF072</t>
  </si>
  <si>
    <t>REC01907276ARQ</t>
  </si>
  <si>
    <t>0000125486</t>
  </si>
  <si>
    <t>0000014566</t>
  </si>
  <si>
    <t>REC01907273ARQ</t>
  </si>
  <si>
    <t>0000125487</t>
  </si>
  <si>
    <t>0000014761</t>
  </si>
  <si>
    <t>BLF088</t>
  </si>
  <si>
    <t>REC99821035ARQ</t>
  </si>
  <si>
    <t>0000125488</t>
  </si>
  <si>
    <t>0000014560</t>
  </si>
  <si>
    <t>BLF090</t>
  </si>
  <si>
    <t>REC01907235ARQ</t>
  </si>
  <si>
    <t>0000125489</t>
  </si>
  <si>
    <t>0000014571</t>
  </si>
  <si>
    <t>REC01907278ARQ</t>
  </si>
  <si>
    <t>0000125490</t>
  </si>
  <si>
    <t>0000014414</t>
  </si>
  <si>
    <t>BLG024</t>
  </si>
  <si>
    <t>RECN9UH94080ARQ</t>
  </si>
  <si>
    <t>0000125491</t>
  </si>
  <si>
    <t>0000014318</t>
  </si>
  <si>
    <t>BLG028</t>
  </si>
  <si>
    <t>RECN9UH94070ARQ</t>
  </si>
  <si>
    <t>0000125492</t>
  </si>
  <si>
    <t>0000014370</t>
  </si>
  <si>
    <t>RECN9UH94071ARQ</t>
  </si>
  <si>
    <t>0000125493</t>
  </si>
  <si>
    <t>0000014128</t>
  </si>
  <si>
    <t>BLE013</t>
  </si>
  <si>
    <t>RECN9UH94280ARQ</t>
  </si>
  <si>
    <t>10226422</t>
  </si>
  <si>
    <t>0000125494</t>
  </si>
  <si>
    <t>0000014744</t>
  </si>
  <si>
    <t>BLD081</t>
  </si>
  <si>
    <t>REC99821038ARQ</t>
  </si>
  <si>
    <t>0000125495</t>
  </si>
  <si>
    <t>0000013945</t>
  </si>
  <si>
    <t>BLG025</t>
  </si>
  <si>
    <t>RECF05QS7384ARQ</t>
  </si>
  <si>
    <t>10226374</t>
  </si>
  <si>
    <t>270.00000</t>
  </si>
  <si>
    <t>0000125496</t>
  </si>
  <si>
    <t>0000014137</t>
  </si>
  <si>
    <t>RECN9UH94260ARQ</t>
  </si>
  <si>
    <t>0000125497</t>
  </si>
  <si>
    <t>0000014543</t>
  </si>
  <si>
    <t>BLF053</t>
  </si>
  <si>
    <t>REC01907225ARQ</t>
  </si>
  <si>
    <t>10247603</t>
  </si>
  <si>
    <t>0000125498</t>
  </si>
  <si>
    <t>0000014519</t>
  </si>
  <si>
    <t>BLG013</t>
  </si>
  <si>
    <t>REC01907205ARQ</t>
  </si>
  <si>
    <t>10226368</t>
  </si>
  <si>
    <t>360.00000</t>
  </si>
  <si>
    <t>0000125499</t>
  </si>
  <si>
    <t>0000014511</t>
  </si>
  <si>
    <t>BLG014</t>
  </si>
  <si>
    <t>REC01907212ARQ</t>
  </si>
  <si>
    <t>0000125500</t>
  </si>
  <si>
    <t>0000014561</t>
  </si>
  <si>
    <t>REC01907271ARQ</t>
  </si>
  <si>
    <t>0000125501</t>
  </si>
  <si>
    <t>0000125502</t>
  </si>
  <si>
    <t>0000014590</t>
  </si>
  <si>
    <t>BLD069</t>
  </si>
  <si>
    <t>REC99821054ARQ</t>
  </si>
  <si>
    <t>10226398</t>
  </si>
  <si>
    <t>240.00000</t>
  </si>
  <si>
    <t>0000125503</t>
  </si>
  <si>
    <t>0000013844</t>
  </si>
  <si>
    <t>BLD086</t>
  </si>
  <si>
    <t>RECF05QS7469ARQ</t>
  </si>
  <si>
    <t>0000125504</t>
  </si>
  <si>
    <t>0000014316</t>
  </si>
  <si>
    <t>BLE029</t>
  </si>
  <si>
    <t>RECN9UH94088ARQ</t>
  </si>
  <si>
    <t>0000125505</t>
  </si>
  <si>
    <t>0000013078</t>
  </si>
  <si>
    <t>BLF004</t>
  </si>
  <si>
    <t>REC1DPULP81794ARQ</t>
  </si>
  <si>
    <t>0000125506</t>
  </si>
  <si>
    <t>0000013079</t>
  </si>
  <si>
    <t>REC1DPULP81793ARQ</t>
  </si>
  <si>
    <t>0000125507</t>
  </si>
  <si>
    <t>0000013087</t>
  </si>
  <si>
    <t>BLF075</t>
  </si>
  <si>
    <t>REC1DPULP71580ARQ</t>
  </si>
  <si>
    <t>0000125508</t>
  </si>
  <si>
    <t>0000013892</t>
  </si>
  <si>
    <t>BLG019</t>
  </si>
  <si>
    <t>RECF05QS7430ARQ</t>
  </si>
  <si>
    <t>10226373</t>
  </si>
  <si>
    <t>0000125509</t>
  </si>
  <si>
    <t>0000013895</t>
  </si>
  <si>
    <t>RECF05QS7427ARQ</t>
  </si>
  <si>
    <t>0000125510</t>
  </si>
  <si>
    <t>0000014125</t>
  </si>
  <si>
    <t>BLG039</t>
  </si>
  <si>
    <t>REC16442070ARQ</t>
  </si>
  <si>
    <t>0000125511</t>
  </si>
  <si>
    <t>0000013903</t>
  </si>
  <si>
    <t>BLG047</t>
  </si>
  <si>
    <t>RECF05QS7392ARQ</t>
  </si>
  <si>
    <t>0000125512</t>
  </si>
  <si>
    <t>RECF05QS7397ARQ</t>
  </si>
  <si>
    <t>Aberto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</si>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</sst>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b/>
      <sz val="11"/>
      <color indexed="8"/>
      <name val="Aptos Narrow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6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9"/>
  <sheetViews>
    <sheetView workbookViewId="0">
      <selection activeCell="A2" sqref="A2:N39"/>
    </sheetView>
  </sheetViews>
  <sheetFormatPr defaultRowHeight="15" x14ac:dyDescent="0.25"/>
  <cols>
    <col min="1" max="14" width="19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79</v>
      </c>
      <c r="B2" t="s">
        <v>30</v>
      </c>
      <c r="C2" t="s">
        <v>80</v>
      </c>
      <c r="D2" t="s">
        <v>81</v>
      </c>
      <c r="E2" t="s">
        <v>82</v>
      </c>
      <c r="F2" t="s">
        <v>72</v>
      </c>
      <c r="G2" t="s">
        <v>15</v>
      </c>
      <c r="H2" t="s">
        <v>83</v>
      </c>
      <c r="I2" t="s">
        <v>25</v>
      </c>
      <c r="J2" t="s">
        <v>16</v>
      </c>
      <c r="K2" t="s">
        <v>72</v>
      </c>
      <c r="L2" t="s">
        <v>84</v>
      </c>
      <c r="M2" t="s">
        <v>18</v>
      </c>
      <c r="N2" t="s">
        <v>19</v>
      </c>
    </row>
    <row r="3" spans="1:14" x14ac:dyDescent="0.25">
      <c r="A3" t="s">
        <v>79</v>
      </c>
      <c r="B3" t="s">
        <v>14</v>
      </c>
      <c r="C3" t="s">
        <v>85</v>
      </c>
      <c r="D3" t="s">
        <v>86</v>
      </c>
      <c r="E3" t="s">
        <v>87</v>
      </c>
      <c r="F3" t="s">
        <v>88</v>
      </c>
      <c r="G3" t="s">
        <v>15</v>
      </c>
      <c r="H3" t="s">
        <v>89</v>
      </c>
      <c r="I3" t="s">
        <v>21</v>
      </c>
      <c r="J3" t="s">
        <v>16</v>
      </c>
      <c r="K3" t="s">
        <v>17</v>
      </c>
      <c r="L3" t="s">
        <v>84</v>
      </c>
      <c r="M3" t="s">
        <v>18</v>
      </c>
      <c r="N3" t="s">
        <v>19</v>
      </c>
    </row>
    <row r="4" spans="1:14" x14ac:dyDescent="0.25">
      <c r="A4" t="s">
        <v>79</v>
      </c>
      <c r="B4" t="s">
        <v>14</v>
      </c>
      <c r="C4" t="s">
        <v>90</v>
      </c>
      <c r="D4" t="s">
        <v>91</v>
      </c>
      <c r="E4" t="s">
        <v>92</v>
      </c>
      <c r="F4" t="s">
        <v>93</v>
      </c>
      <c r="G4" t="s">
        <v>15</v>
      </c>
      <c r="H4" t="s">
        <v>89</v>
      </c>
      <c r="I4" t="s">
        <v>21</v>
      </c>
      <c r="J4" t="s">
        <v>16</v>
      </c>
      <c r="K4" t="s">
        <v>17</v>
      </c>
      <c r="L4" t="s">
        <v>84</v>
      </c>
      <c r="M4" t="s">
        <v>18</v>
      </c>
      <c r="N4" t="s">
        <v>19</v>
      </c>
    </row>
    <row r="5" spans="1:14" x14ac:dyDescent="0.25">
      <c r="A5" t="s">
        <v>79</v>
      </c>
      <c r="B5" t="s">
        <v>14</v>
      </c>
      <c r="C5" t="s">
        <v>94</v>
      </c>
      <c r="D5" t="s">
        <v>95</v>
      </c>
      <c r="E5" t="s">
        <v>96</v>
      </c>
      <c r="F5" t="s">
        <v>97</v>
      </c>
      <c r="G5" t="s">
        <v>15</v>
      </c>
      <c r="H5" t="s">
        <v>89</v>
      </c>
      <c r="I5" t="s">
        <v>21</v>
      </c>
      <c r="J5" t="s">
        <v>16</v>
      </c>
      <c r="K5" t="s">
        <v>17</v>
      </c>
      <c r="L5" t="s">
        <v>84</v>
      </c>
      <c r="M5" t="s">
        <v>18</v>
      </c>
      <c r="N5" t="s">
        <v>19</v>
      </c>
    </row>
    <row r="6" spans="1:14" x14ac:dyDescent="0.25">
      <c r="A6" t="s">
        <v>79</v>
      </c>
      <c r="B6" t="s">
        <v>14</v>
      </c>
      <c r="C6" t="s">
        <v>98</v>
      </c>
      <c r="D6" t="s">
        <v>99</v>
      </c>
      <c r="E6" t="s">
        <v>78</v>
      </c>
      <c r="F6" t="s">
        <v>100</v>
      </c>
      <c r="G6" t="s">
        <v>15</v>
      </c>
      <c r="H6" t="s">
        <v>89</v>
      </c>
      <c r="I6" t="s">
        <v>21</v>
      </c>
      <c r="J6" t="s">
        <v>16</v>
      </c>
      <c r="K6" t="s">
        <v>17</v>
      </c>
      <c r="L6" t="s">
        <v>84</v>
      </c>
      <c r="M6" t="s">
        <v>18</v>
      </c>
      <c r="N6" t="s">
        <v>19</v>
      </c>
    </row>
    <row r="7" spans="1:14" x14ac:dyDescent="0.25">
      <c r="A7" t="s">
        <v>79</v>
      </c>
      <c r="B7" t="s">
        <v>14</v>
      </c>
      <c r="C7" t="s">
        <v>101</v>
      </c>
      <c r="D7" t="s">
        <v>102</v>
      </c>
      <c r="E7" t="s">
        <v>103</v>
      </c>
      <c r="F7" t="s">
        <v>104</v>
      </c>
      <c r="G7" t="s">
        <v>15</v>
      </c>
      <c r="H7" t="s">
        <v>89</v>
      </c>
      <c r="I7" t="s">
        <v>21</v>
      </c>
      <c r="J7" t="s">
        <v>16</v>
      </c>
      <c r="K7" t="s">
        <v>17</v>
      </c>
      <c r="L7" t="s">
        <v>84</v>
      </c>
      <c r="M7" t="s">
        <v>18</v>
      </c>
      <c r="N7" t="s">
        <v>19</v>
      </c>
    </row>
    <row r="8" spans="1:14" x14ac:dyDescent="0.25">
      <c r="A8" t="s">
        <v>79</v>
      </c>
      <c r="B8" t="s">
        <v>14</v>
      </c>
      <c r="C8" t="s">
        <v>105</v>
      </c>
      <c r="D8" t="s">
        <v>106</v>
      </c>
      <c r="E8" t="s">
        <v>103</v>
      </c>
      <c r="F8" t="s">
        <v>107</v>
      </c>
      <c r="G8" t="s">
        <v>15</v>
      </c>
      <c r="H8" t="s">
        <v>89</v>
      </c>
      <c r="I8" t="s">
        <v>21</v>
      </c>
      <c r="J8" t="s">
        <v>16</v>
      </c>
      <c r="K8" t="s">
        <v>17</v>
      </c>
      <c r="L8" t="s">
        <v>84</v>
      </c>
      <c r="M8" t="s">
        <v>18</v>
      </c>
      <c r="N8" t="s">
        <v>19</v>
      </c>
    </row>
    <row r="9" spans="1:14" x14ac:dyDescent="0.25">
      <c r="A9" t="s">
        <v>79</v>
      </c>
      <c r="B9" t="s">
        <v>14</v>
      </c>
      <c r="C9" t="s">
        <v>108</v>
      </c>
      <c r="D9" t="s">
        <v>109</v>
      </c>
      <c r="E9" t="s">
        <v>110</v>
      </c>
      <c r="F9" t="s">
        <v>111</v>
      </c>
      <c r="G9" t="s">
        <v>15</v>
      </c>
      <c r="H9" t="s">
        <v>89</v>
      </c>
      <c r="I9" t="s">
        <v>21</v>
      </c>
      <c r="J9" t="s">
        <v>16</v>
      </c>
      <c r="K9" t="s">
        <v>17</v>
      </c>
      <c r="L9" t="s">
        <v>84</v>
      </c>
      <c r="M9" t="s">
        <v>18</v>
      </c>
      <c r="N9" t="s">
        <v>19</v>
      </c>
    </row>
    <row r="10" spans="1:14" x14ac:dyDescent="0.25">
      <c r="A10" t="s">
        <v>79</v>
      </c>
      <c r="B10" t="s">
        <v>14</v>
      </c>
      <c r="C10" t="s">
        <v>112</v>
      </c>
      <c r="D10" t="s">
        <v>113</v>
      </c>
      <c r="E10" t="s">
        <v>110</v>
      </c>
      <c r="F10" t="s">
        <v>114</v>
      </c>
      <c r="G10" t="s">
        <v>15</v>
      </c>
      <c r="H10" t="s">
        <v>89</v>
      </c>
      <c r="I10" t="s">
        <v>21</v>
      </c>
      <c r="J10" t="s">
        <v>16</v>
      </c>
      <c r="K10" t="s">
        <v>17</v>
      </c>
      <c r="L10" t="s">
        <v>84</v>
      </c>
      <c r="M10" t="s">
        <v>18</v>
      </c>
      <c r="N10" t="s">
        <v>19</v>
      </c>
    </row>
    <row r="11" spans="1:14" x14ac:dyDescent="0.25">
      <c r="A11" t="s">
        <v>79</v>
      </c>
      <c r="B11" t="s">
        <v>14</v>
      </c>
      <c r="C11" t="s">
        <v>115</v>
      </c>
      <c r="D11" t="s">
        <v>116</v>
      </c>
      <c r="E11" t="s">
        <v>117</v>
      </c>
      <c r="F11" t="s">
        <v>118</v>
      </c>
      <c r="G11" t="s">
        <v>15</v>
      </c>
      <c r="H11" t="s">
        <v>89</v>
      </c>
      <c r="I11" t="s">
        <v>21</v>
      </c>
      <c r="J11" t="s">
        <v>16</v>
      </c>
      <c r="K11" t="s">
        <v>17</v>
      </c>
      <c r="L11" t="s">
        <v>84</v>
      </c>
      <c r="M11" t="s">
        <v>18</v>
      </c>
      <c r="N11" t="s">
        <v>19</v>
      </c>
    </row>
    <row r="12" spans="1:14" x14ac:dyDescent="0.25">
      <c r="A12" t="s">
        <v>79</v>
      </c>
      <c r="B12" t="s">
        <v>14</v>
      </c>
      <c r="C12" t="s">
        <v>119</v>
      </c>
      <c r="D12" t="s">
        <v>120</v>
      </c>
      <c r="E12" t="s">
        <v>121</v>
      </c>
      <c r="F12" t="s">
        <v>122</v>
      </c>
      <c r="G12" t="s">
        <v>15</v>
      </c>
      <c r="H12" t="s">
        <v>89</v>
      </c>
      <c r="I12" t="s">
        <v>21</v>
      </c>
      <c r="J12" t="s">
        <v>16</v>
      </c>
      <c r="K12" t="s">
        <v>17</v>
      </c>
      <c r="L12" t="s">
        <v>84</v>
      </c>
      <c r="M12" t="s">
        <v>18</v>
      </c>
      <c r="N12" t="s">
        <v>19</v>
      </c>
    </row>
    <row r="13" spans="1:14" x14ac:dyDescent="0.25">
      <c r="A13" t="s">
        <v>79</v>
      </c>
      <c r="B13" t="s">
        <v>14</v>
      </c>
      <c r="C13" t="s">
        <v>123</v>
      </c>
      <c r="D13" t="s">
        <v>124</v>
      </c>
      <c r="E13" t="s">
        <v>121</v>
      </c>
      <c r="F13" t="s">
        <v>125</v>
      </c>
      <c r="G13" t="s">
        <v>15</v>
      </c>
      <c r="H13" t="s">
        <v>89</v>
      </c>
      <c r="I13" t="s">
        <v>21</v>
      </c>
      <c r="J13" t="s">
        <v>16</v>
      </c>
      <c r="K13" t="s">
        <v>17</v>
      </c>
      <c r="L13" t="s">
        <v>84</v>
      </c>
      <c r="M13" t="s">
        <v>18</v>
      </c>
      <c r="N13" t="s">
        <v>19</v>
      </c>
    </row>
    <row r="14" spans="1:14" x14ac:dyDescent="0.25">
      <c r="A14" t="s">
        <v>79</v>
      </c>
      <c r="B14" t="s">
        <v>14</v>
      </c>
      <c r="C14" t="s">
        <v>126</v>
      </c>
      <c r="D14" t="s">
        <v>127</v>
      </c>
      <c r="E14" t="s">
        <v>128</v>
      </c>
      <c r="F14" t="s">
        <v>129</v>
      </c>
      <c r="G14" t="s">
        <v>15</v>
      </c>
      <c r="H14" t="s">
        <v>89</v>
      </c>
      <c r="I14" t="s">
        <v>21</v>
      </c>
      <c r="J14" t="s">
        <v>16</v>
      </c>
      <c r="K14" t="s">
        <v>17</v>
      </c>
      <c r="L14" t="s">
        <v>84</v>
      </c>
      <c r="M14" t="s">
        <v>18</v>
      </c>
      <c r="N14" t="s">
        <v>19</v>
      </c>
    </row>
    <row r="15" spans="1:14" x14ac:dyDescent="0.25">
      <c r="A15" t="s">
        <v>79</v>
      </c>
      <c r="B15" t="s">
        <v>14</v>
      </c>
      <c r="C15" t="s">
        <v>130</v>
      </c>
      <c r="D15" t="s">
        <v>131</v>
      </c>
      <c r="E15" t="s">
        <v>132</v>
      </c>
      <c r="F15" t="s">
        <v>133</v>
      </c>
      <c r="G15" t="s">
        <v>15</v>
      </c>
      <c r="H15" t="s">
        <v>89</v>
      </c>
      <c r="I15" t="s">
        <v>21</v>
      </c>
      <c r="J15" t="s">
        <v>16</v>
      </c>
      <c r="K15" t="s">
        <v>17</v>
      </c>
      <c r="L15" t="s">
        <v>84</v>
      </c>
      <c r="M15" t="s">
        <v>18</v>
      </c>
      <c r="N15" t="s">
        <v>19</v>
      </c>
    </row>
    <row r="16" spans="1:14" x14ac:dyDescent="0.25">
      <c r="A16" t="s">
        <v>79</v>
      </c>
      <c r="B16" t="s">
        <v>14</v>
      </c>
      <c r="C16" t="s">
        <v>134</v>
      </c>
      <c r="D16" t="s">
        <v>135</v>
      </c>
      <c r="E16" t="s">
        <v>132</v>
      </c>
      <c r="F16" t="s">
        <v>136</v>
      </c>
      <c r="G16" t="s">
        <v>15</v>
      </c>
      <c r="H16" t="s">
        <v>89</v>
      </c>
      <c r="I16" t="s">
        <v>21</v>
      </c>
      <c r="J16" t="s">
        <v>16</v>
      </c>
      <c r="K16" t="s">
        <v>17</v>
      </c>
      <c r="L16" t="s">
        <v>84</v>
      </c>
      <c r="M16" t="s">
        <v>18</v>
      </c>
      <c r="N16" t="s">
        <v>19</v>
      </c>
    </row>
    <row r="17" spans="1:14" x14ac:dyDescent="0.25">
      <c r="A17" t="s">
        <v>79</v>
      </c>
      <c r="B17" t="s">
        <v>14</v>
      </c>
      <c r="C17" t="s">
        <v>137</v>
      </c>
      <c r="D17" t="s">
        <v>138</v>
      </c>
      <c r="E17" t="s">
        <v>139</v>
      </c>
      <c r="F17" t="s">
        <v>140</v>
      </c>
      <c r="G17" t="s">
        <v>15</v>
      </c>
      <c r="H17" t="s">
        <v>89</v>
      </c>
      <c r="I17" t="s">
        <v>21</v>
      </c>
      <c r="J17" t="s">
        <v>16</v>
      </c>
      <c r="K17" t="s">
        <v>17</v>
      </c>
      <c r="L17" t="s">
        <v>84</v>
      </c>
      <c r="M17" t="s">
        <v>18</v>
      </c>
      <c r="N17" t="s">
        <v>19</v>
      </c>
    </row>
    <row r="18" spans="1:14" x14ac:dyDescent="0.25">
      <c r="A18" t="s">
        <v>79</v>
      </c>
      <c r="B18" t="s">
        <v>14</v>
      </c>
      <c r="C18" t="s">
        <v>141</v>
      </c>
      <c r="D18" t="s">
        <v>142</v>
      </c>
      <c r="E18" t="s">
        <v>143</v>
      </c>
      <c r="F18" t="s">
        <v>144</v>
      </c>
      <c r="G18" t="s">
        <v>15</v>
      </c>
      <c r="H18" t="s">
        <v>89</v>
      </c>
      <c r="I18" t="s">
        <v>21</v>
      </c>
      <c r="J18" t="s">
        <v>16</v>
      </c>
      <c r="K18" t="s">
        <v>17</v>
      </c>
      <c r="L18" t="s">
        <v>84</v>
      </c>
      <c r="M18" t="s">
        <v>18</v>
      </c>
      <c r="N18" t="s">
        <v>19</v>
      </c>
    </row>
    <row r="19" spans="1:14" x14ac:dyDescent="0.25">
      <c r="A19" t="s">
        <v>79</v>
      </c>
      <c r="B19" t="s">
        <v>14</v>
      </c>
      <c r="C19" t="s">
        <v>145</v>
      </c>
      <c r="D19" t="s">
        <v>146</v>
      </c>
      <c r="E19" t="s">
        <v>143</v>
      </c>
      <c r="F19" t="s">
        <v>147</v>
      </c>
      <c r="G19" t="s">
        <v>15</v>
      </c>
      <c r="H19" t="s">
        <v>89</v>
      </c>
      <c r="I19" t="s">
        <v>21</v>
      </c>
      <c r="J19" t="s">
        <v>16</v>
      </c>
      <c r="K19" t="s">
        <v>17</v>
      </c>
      <c r="L19" t="s">
        <v>84</v>
      </c>
      <c r="M19" t="s">
        <v>18</v>
      </c>
      <c r="N19" t="s">
        <v>19</v>
      </c>
    </row>
    <row r="20" spans="1:14" x14ac:dyDescent="0.25">
      <c r="A20" t="s">
        <v>79</v>
      </c>
      <c r="B20" t="s">
        <v>20</v>
      </c>
      <c r="C20" t="s">
        <v>148</v>
      </c>
      <c r="D20" t="s">
        <v>149</v>
      </c>
      <c r="E20" t="s">
        <v>150</v>
      </c>
      <c r="F20" t="s">
        <v>151</v>
      </c>
      <c r="G20" t="s">
        <v>15</v>
      </c>
      <c r="H20" t="s">
        <v>152</v>
      </c>
      <c r="I20" t="s">
        <v>25</v>
      </c>
      <c r="J20" t="s">
        <v>16</v>
      </c>
      <c r="K20" t="s">
        <v>17</v>
      </c>
      <c r="L20" t="s">
        <v>84</v>
      </c>
      <c r="M20" t="s">
        <v>18</v>
      </c>
      <c r="N20" t="s">
        <v>19</v>
      </c>
    </row>
    <row r="21" spans="1:14" x14ac:dyDescent="0.25">
      <c r="A21" t="s">
        <v>79</v>
      </c>
      <c r="B21" t="s">
        <v>20</v>
      </c>
      <c r="C21" t="s">
        <v>153</v>
      </c>
      <c r="D21" t="s">
        <v>154</v>
      </c>
      <c r="E21" t="s">
        <v>155</v>
      </c>
      <c r="F21" t="s">
        <v>156</v>
      </c>
      <c r="G21" t="s">
        <v>15</v>
      </c>
      <c r="H21" t="s">
        <v>152</v>
      </c>
      <c r="I21" t="s">
        <v>33</v>
      </c>
      <c r="J21" t="s">
        <v>16</v>
      </c>
      <c r="K21" t="s">
        <v>17</v>
      </c>
      <c r="L21" t="s">
        <v>84</v>
      </c>
      <c r="M21" t="s">
        <v>18</v>
      </c>
      <c r="N21" t="s">
        <v>19</v>
      </c>
    </row>
    <row r="22" spans="1:14" x14ac:dyDescent="0.25">
      <c r="A22" t="s">
        <v>79</v>
      </c>
      <c r="B22" t="s">
        <v>22</v>
      </c>
      <c r="C22" t="s">
        <v>157</v>
      </c>
      <c r="D22" t="s">
        <v>158</v>
      </c>
      <c r="E22" t="s">
        <v>159</v>
      </c>
      <c r="F22" t="s">
        <v>160</v>
      </c>
      <c r="G22" t="s">
        <v>15</v>
      </c>
      <c r="H22" t="s">
        <v>161</v>
      </c>
      <c r="I22" t="s">
        <v>162</v>
      </c>
      <c r="J22" t="s">
        <v>16</v>
      </c>
      <c r="K22" t="s">
        <v>17</v>
      </c>
      <c r="L22" t="s">
        <v>84</v>
      </c>
      <c r="M22" t="s">
        <v>18</v>
      </c>
      <c r="N22" t="s">
        <v>19</v>
      </c>
    </row>
    <row r="23" spans="1:14" x14ac:dyDescent="0.25">
      <c r="A23" t="s">
        <v>79</v>
      </c>
      <c r="B23" t="s">
        <v>22</v>
      </c>
      <c r="C23" t="s">
        <v>163</v>
      </c>
      <c r="D23" t="s">
        <v>164</v>
      </c>
      <c r="E23" t="s">
        <v>73</v>
      </c>
      <c r="F23" t="s">
        <v>165</v>
      </c>
      <c r="G23" t="s">
        <v>15</v>
      </c>
      <c r="H23" t="s">
        <v>161</v>
      </c>
      <c r="I23" t="s">
        <v>31</v>
      </c>
      <c r="J23" t="s">
        <v>16</v>
      </c>
      <c r="K23" t="s">
        <v>17</v>
      </c>
      <c r="L23" t="s">
        <v>84</v>
      </c>
      <c r="M23" t="s">
        <v>18</v>
      </c>
      <c r="N23" t="s">
        <v>19</v>
      </c>
    </row>
    <row r="24" spans="1:14" x14ac:dyDescent="0.25">
      <c r="A24" t="s">
        <v>79</v>
      </c>
      <c r="B24" t="s">
        <v>23</v>
      </c>
      <c r="C24" t="s">
        <v>166</v>
      </c>
      <c r="D24" t="s">
        <v>167</v>
      </c>
      <c r="E24" t="s">
        <v>168</v>
      </c>
      <c r="F24" t="s">
        <v>169</v>
      </c>
      <c r="G24" t="s">
        <v>15</v>
      </c>
      <c r="H24" t="s">
        <v>170</v>
      </c>
      <c r="I24" t="s">
        <v>25</v>
      </c>
      <c r="J24" t="s">
        <v>16</v>
      </c>
      <c r="K24" t="s">
        <v>17</v>
      </c>
      <c r="L24" t="s">
        <v>84</v>
      </c>
      <c r="M24" t="s">
        <v>18</v>
      </c>
      <c r="N24" t="s">
        <v>19</v>
      </c>
    </row>
    <row r="25" spans="1:14" x14ac:dyDescent="0.25">
      <c r="A25" t="s">
        <v>79</v>
      </c>
      <c r="B25" t="s">
        <v>24</v>
      </c>
      <c r="C25" t="s">
        <v>171</v>
      </c>
      <c r="D25" t="s">
        <v>172</v>
      </c>
      <c r="E25" t="s">
        <v>173</v>
      </c>
      <c r="F25" t="s">
        <v>174</v>
      </c>
      <c r="G25" t="s">
        <v>15</v>
      </c>
      <c r="H25" t="s">
        <v>175</v>
      </c>
      <c r="I25" t="s">
        <v>176</v>
      </c>
      <c r="J25" t="s">
        <v>16</v>
      </c>
      <c r="K25" t="s">
        <v>17</v>
      </c>
      <c r="L25" t="s">
        <v>84</v>
      </c>
      <c r="M25" t="s">
        <v>18</v>
      </c>
      <c r="N25" t="s">
        <v>19</v>
      </c>
    </row>
    <row r="26" spans="1:14" x14ac:dyDescent="0.25">
      <c r="A26" t="s">
        <v>79</v>
      </c>
      <c r="B26" t="s">
        <v>24</v>
      </c>
      <c r="C26" t="s">
        <v>177</v>
      </c>
      <c r="D26" t="s">
        <v>178</v>
      </c>
      <c r="E26" t="s">
        <v>179</v>
      </c>
      <c r="F26" t="s">
        <v>180</v>
      </c>
      <c r="G26" t="s">
        <v>15</v>
      </c>
      <c r="H26" t="s">
        <v>175</v>
      </c>
      <c r="I26" t="s">
        <v>176</v>
      </c>
      <c r="J26" t="s">
        <v>16</v>
      </c>
      <c r="K26" t="s">
        <v>17</v>
      </c>
      <c r="L26" t="s">
        <v>84</v>
      </c>
      <c r="M26" t="s">
        <v>18</v>
      </c>
      <c r="N26" t="s">
        <v>19</v>
      </c>
    </row>
    <row r="27" spans="1:14" x14ac:dyDescent="0.25">
      <c r="A27" t="s">
        <v>79</v>
      </c>
      <c r="B27" t="s">
        <v>24</v>
      </c>
      <c r="C27" t="s">
        <v>181</v>
      </c>
      <c r="D27" t="s">
        <v>182</v>
      </c>
      <c r="E27" t="s">
        <v>74</v>
      </c>
      <c r="F27" t="s">
        <v>183</v>
      </c>
      <c r="G27" t="s">
        <v>15</v>
      </c>
      <c r="H27" t="s">
        <v>175</v>
      </c>
      <c r="I27" t="s">
        <v>28</v>
      </c>
      <c r="J27" t="s">
        <v>16</v>
      </c>
      <c r="K27" t="s">
        <v>17</v>
      </c>
      <c r="L27" t="s">
        <v>84</v>
      </c>
      <c r="M27" t="s">
        <v>18</v>
      </c>
      <c r="N27" t="s">
        <v>19</v>
      </c>
    </row>
    <row r="28" spans="1:14" x14ac:dyDescent="0.25">
      <c r="A28" t="s">
        <v>79</v>
      </c>
      <c r="B28" t="s">
        <v>26</v>
      </c>
      <c r="C28" t="s">
        <v>184</v>
      </c>
      <c r="D28" t="s">
        <v>75</v>
      </c>
      <c r="E28" t="s">
        <v>76</v>
      </c>
      <c r="F28" t="s">
        <v>77</v>
      </c>
      <c r="G28" t="s">
        <v>15</v>
      </c>
      <c r="H28" t="s">
        <v>35</v>
      </c>
      <c r="I28" t="s">
        <v>34</v>
      </c>
      <c r="J28" t="s">
        <v>16</v>
      </c>
      <c r="K28" t="s">
        <v>17</v>
      </c>
      <c r="L28" t="s">
        <v>84</v>
      </c>
      <c r="M28" t="s">
        <v>18</v>
      </c>
      <c r="N28" t="s">
        <v>19</v>
      </c>
    </row>
    <row r="29" spans="1:14" x14ac:dyDescent="0.25">
      <c r="A29" t="s">
        <v>79</v>
      </c>
      <c r="B29" t="s">
        <v>27</v>
      </c>
      <c r="C29" t="s">
        <v>185</v>
      </c>
      <c r="D29" t="s">
        <v>186</v>
      </c>
      <c r="E29" t="s">
        <v>187</v>
      </c>
      <c r="F29" t="s">
        <v>188</v>
      </c>
      <c r="G29" t="s">
        <v>15</v>
      </c>
      <c r="H29" t="s">
        <v>189</v>
      </c>
      <c r="I29" t="s">
        <v>190</v>
      </c>
      <c r="J29" t="s">
        <v>16</v>
      </c>
      <c r="K29" t="s">
        <v>17</v>
      </c>
      <c r="L29" t="s">
        <v>84</v>
      </c>
      <c r="M29" t="s">
        <v>18</v>
      </c>
      <c r="N29" t="s">
        <v>19</v>
      </c>
    </row>
    <row r="30" spans="1:14" x14ac:dyDescent="0.25">
      <c r="A30" t="s">
        <v>79</v>
      </c>
      <c r="B30" t="s">
        <v>27</v>
      </c>
      <c r="C30" t="s">
        <v>191</v>
      </c>
      <c r="D30" t="s">
        <v>192</v>
      </c>
      <c r="E30" t="s">
        <v>193</v>
      </c>
      <c r="F30" t="s">
        <v>194</v>
      </c>
      <c r="G30" t="s">
        <v>15</v>
      </c>
      <c r="H30" t="s">
        <v>189</v>
      </c>
      <c r="I30" t="s">
        <v>25</v>
      </c>
      <c r="J30" t="s">
        <v>16</v>
      </c>
      <c r="K30" t="s">
        <v>17</v>
      </c>
      <c r="L30" t="s">
        <v>84</v>
      </c>
      <c r="M30" t="s">
        <v>18</v>
      </c>
      <c r="N30" t="s">
        <v>19</v>
      </c>
    </row>
    <row r="31" spans="1:14" x14ac:dyDescent="0.25">
      <c r="A31" t="s">
        <v>79</v>
      </c>
      <c r="B31" t="s">
        <v>27</v>
      </c>
      <c r="C31" t="s">
        <v>195</v>
      </c>
      <c r="D31" t="s">
        <v>196</v>
      </c>
      <c r="E31" t="s">
        <v>197</v>
      </c>
      <c r="F31" t="s">
        <v>198</v>
      </c>
      <c r="G31" t="s">
        <v>15</v>
      </c>
      <c r="H31" t="s">
        <v>189</v>
      </c>
      <c r="I31" t="s">
        <v>28</v>
      </c>
      <c r="J31" t="s">
        <v>16</v>
      </c>
      <c r="K31" t="s">
        <v>17</v>
      </c>
      <c r="L31" t="s">
        <v>84</v>
      </c>
      <c r="M31" t="s">
        <v>18</v>
      </c>
      <c r="N31" t="s">
        <v>19</v>
      </c>
    </row>
    <row r="32" spans="1:14" x14ac:dyDescent="0.25">
      <c r="A32" t="s">
        <v>79</v>
      </c>
      <c r="B32" t="s">
        <v>29</v>
      </c>
      <c r="C32" t="s">
        <v>199</v>
      </c>
      <c r="D32" t="s">
        <v>200</v>
      </c>
      <c r="E32" t="s">
        <v>201</v>
      </c>
      <c r="F32" t="s">
        <v>202</v>
      </c>
      <c r="G32" t="s">
        <v>15</v>
      </c>
      <c r="H32" t="s">
        <v>36</v>
      </c>
      <c r="I32" t="s">
        <v>21</v>
      </c>
      <c r="J32" t="s">
        <v>16</v>
      </c>
      <c r="K32" t="s">
        <v>17</v>
      </c>
      <c r="L32" t="s">
        <v>84</v>
      </c>
      <c r="M32" t="s">
        <v>18</v>
      </c>
      <c r="N32" t="s">
        <v>19</v>
      </c>
    </row>
    <row r="33" spans="1:14" x14ac:dyDescent="0.25">
      <c r="A33" t="s">
        <v>79</v>
      </c>
      <c r="B33" t="s">
        <v>29</v>
      </c>
      <c r="C33" t="s">
        <v>203</v>
      </c>
      <c r="D33" t="s">
        <v>204</v>
      </c>
      <c r="E33" t="s">
        <v>201</v>
      </c>
      <c r="F33" t="s">
        <v>205</v>
      </c>
      <c r="G33" t="s">
        <v>15</v>
      </c>
      <c r="H33" t="s">
        <v>36</v>
      </c>
      <c r="I33" t="s">
        <v>21</v>
      </c>
      <c r="J33" t="s">
        <v>16</v>
      </c>
      <c r="K33" t="s">
        <v>17</v>
      </c>
      <c r="L33" t="s">
        <v>84</v>
      </c>
      <c r="M33" t="s">
        <v>18</v>
      </c>
      <c r="N33" t="s">
        <v>19</v>
      </c>
    </row>
    <row r="34" spans="1:14" x14ac:dyDescent="0.25">
      <c r="A34" t="s">
        <v>79</v>
      </c>
      <c r="B34" t="s">
        <v>29</v>
      </c>
      <c r="C34" t="s">
        <v>206</v>
      </c>
      <c r="D34" t="s">
        <v>207</v>
      </c>
      <c r="E34" t="s">
        <v>208</v>
      </c>
      <c r="F34" t="s">
        <v>209</v>
      </c>
      <c r="G34" t="s">
        <v>15</v>
      </c>
      <c r="H34" t="s">
        <v>36</v>
      </c>
      <c r="I34" t="s">
        <v>21</v>
      </c>
      <c r="J34" t="s">
        <v>16</v>
      </c>
      <c r="K34" t="s">
        <v>17</v>
      </c>
      <c r="L34" t="s">
        <v>84</v>
      </c>
      <c r="M34" t="s">
        <v>18</v>
      </c>
      <c r="N34" t="s">
        <v>19</v>
      </c>
    </row>
    <row r="35" spans="1:14" x14ac:dyDescent="0.25">
      <c r="A35" t="s">
        <v>79</v>
      </c>
      <c r="B35" t="s">
        <v>32</v>
      </c>
      <c r="C35" t="s">
        <v>210</v>
      </c>
      <c r="D35" t="s">
        <v>211</v>
      </c>
      <c r="E35" t="s">
        <v>212</v>
      </c>
      <c r="F35" t="s">
        <v>213</v>
      </c>
      <c r="G35" t="s">
        <v>15</v>
      </c>
      <c r="H35" t="s">
        <v>214</v>
      </c>
      <c r="I35" t="s">
        <v>21</v>
      </c>
      <c r="J35" t="s">
        <v>16</v>
      </c>
      <c r="K35" t="s">
        <v>17</v>
      </c>
      <c r="L35" t="s">
        <v>84</v>
      </c>
      <c r="M35" t="s">
        <v>18</v>
      </c>
      <c r="N35" t="s">
        <v>19</v>
      </c>
    </row>
    <row r="36" spans="1:14" x14ac:dyDescent="0.25">
      <c r="A36" t="s">
        <v>79</v>
      </c>
      <c r="B36" t="s">
        <v>32</v>
      </c>
      <c r="C36" t="s">
        <v>215</v>
      </c>
      <c r="D36" t="s">
        <v>216</v>
      </c>
      <c r="E36" t="s">
        <v>212</v>
      </c>
      <c r="F36" t="s">
        <v>217</v>
      </c>
      <c r="G36" t="s">
        <v>15</v>
      </c>
      <c r="H36" t="s">
        <v>214</v>
      </c>
      <c r="I36" t="s">
        <v>21</v>
      </c>
      <c r="J36" t="s">
        <v>16</v>
      </c>
      <c r="K36" t="s">
        <v>17</v>
      </c>
      <c r="L36" t="s">
        <v>84</v>
      </c>
      <c r="M36" t="s">
        <v>18</v>
      </c>
      <c r="N36" t="s">
        <v>19</v>
      </c>
    </row>
    <row r="37" spans="1:14" x14ac:dyDescent="0.25">
      <c r="A37" t="s">
        <v>79</v>
      </c>
      <c r="B37" t="s">
        <v>32</v>
      </c>
      <c r="C37" t="s">
        <v>218</v>
      </c>
      <c r="D37" t="s">
        <v>219</v>
      </c>
      <c r="E37" t="s">
        <v>220</v>
      </c>
      <c r="F37" t="s">
        <v>221</v>
      </c>
      <c r="G37" t="s">
        <v>15</v>
      </c>
      <c r="H37" t="s">
        <v>214</v>
      </c>
      <c r="I37" t="s">
        <v>21</v>
      </c>
      <c r="J37" t="s">
        <v>16</v>
      </c>
      <c r="K37" t="s">
        <v>17</v>
      </c>
      <c r="L37" t="s">
        <v>84</v>
      </c>
      <c r="M37" t="s">
        <v>18</v>
      </c>
      <c r="N37" t="s">
        <v>19</v>
      </c>
    </row>
    <row r="38" spans="1:14" x14ac:dyDescent="0.25">
      <c r="A38" t="s">
        <v>79</v>
      </c>
      <c r="B38" t="s">
        <v>32</v>
      </c>
      <c r="C38" t="s">
        <v>222</v>
      </c>
      <c r="D38" t="s">
        <v>223</v>
      </c>
      <c r="E38" t="s">
        <v>224</v>
      </c>
      <c r="F38" t="s">
        <v>225</v>
      </c>
      <c r="G38" t="s">
        <v>15</v>
      </c>
      <c r="H38" t="s">
        <v>214</v>
      </c>
      <c r="I38" t="s">
        <v>21</v>
      </c>
      <c r="J38" t="s">
        <v>16</v>
      </c>
      <c r="K38" t="s">
        <v>17</v>
      </c>
      <c r="L38" t="s">
        <v>84</v>
      </c>
      <c r="M38" t="s">
        <v>18</v>
      </c>
      <c r="N38" t="s">
        <v>19</v>
      </c>
    </row>
    <row r="39" spans="1:14" x14ac:dyDescent="0.25">
      <c r="A39" t="s">
        <v>79</v>
      </c>
      <c r="B39" t="s">
        <v>32</v>
      </c>
      <c r="C39" t="s">
        <v>226</v>
      </c>
      <c r="D39" t="s">
        <v>223</v>
      </c>
      <c r="E39" t="s">
        <v>224</v>
      </c>
      <c r="F39" t="s">
        <v>227</v>
      </c>
      <c r="G39" t="s">
        <v>15</v>
      </c>
      <c r="H39" t="s">
        <v>214</v>
      </c>
      <c r="I39" t="s">
        <v>21</v>
      </c>
      <c r="J39" t="s">
        <v>16</v>
      </c>
      <c r="K39" t="s">
        <v>17</v>
      </c>
      <c r="L39" t="s">
        <v>84</v>
      </c>
      <c r="M39" t="s">
        <v>18</v>
      </c>
      <c r="N39" t="s">
        <v>19</v>
      </c>
    </row>
  </sheetData>
  <pageMargins left="0.7" right="0.7" top="0.75" bottom="0.75" header="0.3" footer="0.3"/>
  <headerFooter>
    <oddFooter>&amp;C_x000D_&amp;1#&amp;"Aptos"&amp;10&amp;K000000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BF13-8264-4FC6-BF94-5C8F46B8FCAB}">
  <dimension ref="A1:P18"/>
  <sheetViews>
    <sheetView workbookViewId="0">
      <selection activeCell="J10" sqref="J10"/>
    </sheetView>
  </sheetViews>
  <sheetFormatPr defaultRowHeight="15" x14ac:dyDescent="0.25"/>
  <cols>
    <col min="1" max="1" width="11" bestFit="1" customWidth="1"/>
    <col min="2" max="2" width="7.7109375" bestFit="1" customWidth="1"/>
    <col min="3" max="3" width="10.42578125" bestFit="1" customWidth="1"/>
    <col min="4" max="4" width="6" bestFit="1" customWidth="1"/>
    <col min="6" max="6" width="11" bestFit="1" customWidth="1"/>
    <col min="7" max="7" width="7.140625" bestFit="1" customWidth="1"/>
    <col min="9" max="9" width="9.5703125" bestFit="1" customWidth="1"/>
    <col min="11" max="11" width="13.7109375" bestFit="1" customWidth="1"/>
    <col min="12" max="12" width="10.28515625" bestFit="1" customWidth="1"/>
    <col min="13" max="13" width="7.85546875" bestFit="1" customWidth="1"/>
    <col min="14" max="14" width="13.140625" bestFit="1" customWidth="1"/>
    <col min="15" max="15" width="9.42578125" bestFit="1" customWidth="1"/>
    <col min="16" max="16" width="4" bestFit="1" customWidth="1"/>
  </cols>
  <sheetData>
    <row r="1" spans="1:16" x14ac:dyDescent="0.2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</row>
    <row r="2" spans="1:16" x14ac:dyDescent="0.25">
      <c r="A2" s="20" t="s">
        <v>64</v>
      </c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8"/>
    </row>
    <row r="3" spans="1:16" x14ac:dyDescent="0.25">
      <c r="A3" s="20"/>
      <c r="B3" s="6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8"/>
    </row>
    <row r="4" spans="1:16" x14ac:dyDescent="0.25">
      <c r="A4" s="20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8"/>
    </row>
    <row r="5" spans="1:16" x14ac:dyDescent="0.25">
      <c r="A5" s="20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/>
    </row>
    <row r="6" spans="1:16" x14ac:dyDescent="0.25">
      <c r="A6" s="20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8"/>
    </row>
    <row r="7" spans="1:16" x14ac:dyDescent="0.25">
      <c r="A7" s="20"/>
      <c r="B7" s="9"/>
      <c r="C7" s="10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1"/>
    </row>
    <row r="8" spans="1:16" x14ac:dyDescent="0.25">
      <c r="A8" s="20" t="s">
        <v>70</v>
      </c>
      <c r="B8" s="6"/>
      <c r="C8" s="12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</row>
    <row r="9" spans="1:16" x14ac:dyDescent="0.25">
      <c r="A9" s="20"/>
      <c r="B9" s="6"/>
      <c r="C9" s="1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</row>
    <row r="10" spans="1:16" x14ac:dyDescent="0.25">
      <c r="A10" s="20"/>
      <c r="B10" s="9"/>
      <c r="C10" s="13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1"/>
    </row>
    <row r="11" spans="1:16" x14ac:dyDescent="0.25">
      <c r="A11" s="5"/>
      <c r="B11" s="18" t="s">
        <v>65</v>
      </c>
      <c r="C11" s="19">
        <v>46226</v>
      </c>
      <c r="D11" s="18">
        <v>87517</v>
      </c>
      <c r="E11" s="18">
        <v>1</v>
      </c>
      <c r="F11" s="18">
        <v>6878304268</v>
      </c>
      <c r="G11" s="18" t="s">
        <v>66</v>
      </c>
      <c r="H11" s="18">
        <v>341</v>
      </c>
      <c r="I11" s="18">
        <v>9</v>
      </c>
      <c r="J11" s="18" t="s">
        <v>67</v>
      </c>
      <c r="K11" s="18" t="s">
        <v>68</v>
      </c>
      <c r="L11" s="6"/>
      <c r="M11" s="6"/>
      <c r="N11" s="6"/>
      <c r="O11" s="6"/>
      <c r="P11" s="8"/>
    </row>
    <row r="12" spans="1:16" x14ac:dyDescent="0.25">
      <c r="A12" s="20" t="s">
        <v>71</v>
      </c>
      <c r="B12" s="6" t="s">
        <v>65</v>
      </c>
      <c r="C12" s="12">
        <v>46226</v>
      </c>
      <c r="D12" s="6">
        <v>87518</v>
      </c>
      <c r="E12" s="6">
        <v>1</v>
      </c>
      <c r="F12" s="6">
        <v>6878304269</v>
      </c>
      <c r="G12" s="6" t="s">
        <v>66</v>
      </c>
      <c r="H12" s="6">
        <v>823</v>
      </c>
      <c r="I12" s="6">
        <v>21</v>
      </c>
      <c r="J12" s="6" t="s">
        <v>67</v>
      </c>
      <c r="K12" s="6" t="s">
        <v>68</v>
      </c>
      <c r="L12" s="6"/>
      <c r="M12" s="6"/>
      <c r="N12" s="6"/>
      <c r="O12" s="6"/>
      <c r="P12" s="8"/>
    </row>
    <row r="13" spans="1:16" x14ac:dyDescent="0.25">
      <c r="A13" s="20"/>
      <c r="B13" s="6" t="s">
        <v>65</v>
      </c>
      <c r="C13" s="12">
        <v>46226</v>
      </c>
      <c r="D13" s="6">
        <v>87519</v>
      </c>
      <c r="E13" s="6">
        <v>2</v>
      </c>
      <c r="F13" s="6">
        <v>6878309020</v>
      </c>
      <c r="G13" s="6" t="s">
        <v>66</v>
      </c>
      <c r="H13" s="6">
        <v>1008</v>
      </c>
      <c r="I13" s="6">
        <v>26</v>
      </c>
      <c r="J13" s="6" t="s">
        <v>66</v>
      </c>
      <c r="K13" s="6" t="s">
        <v>228</v>
      </c>
      <c r="L13" s="6"/>
      <c r="M13" s="6"/>
      <c r="N13" s="6"/>
      <c r="O13" s="6"/>
      <c r="P13" s="8"/>
    </row>
    <row r="14" spans="1:16" x14ac:dyDescent="0.25">
      <c r="A14" s="20"/>
      <c r="B14" s="6" t="s">
        <v>69</v>
      </c>
      <c r="C14" s="12">
        <v>46226</v>
      </c>
      <c r="D14" s="6">
        <v>87515</v>
      </c>
      <c r="E14" s="6">
        <v>2</v>
      </c>
      <c r="F14" s="6">
        <v>6878304266</v>
      </c>
      <c r="G14" s="6" t="s">
        <v>66</v>
      </c>
      <c r="H14" s="6" t="s">
        <v>229</v>
      </c>
      <c r="I14" s="6">
        <v>2</v>
      </c>
      <c r="J14" s="6" t="s">
        <v>67</v>
      </c>
      <c r="K14" s="6" t="s">
        <v>68</v>
      </c>
      <c r="L14" s="6"/>
      <c r="M14" s="6"/>
      <c r="N14" s="6"/>
      <c r="O14" s="6"/>
      <c r="P14" s="8"/>
    </row>
    <row r="15" spans="1:16" x14ac:dyDescent="0.25">
      <c r="A15" s="20"/>
      <c r="B15" s="6" t="s">
        <v>69</v>
      </c>
      <c r="C15" s="12">
        <v>46226</v>
      </c>
      <c r="D15" s="6">
        <v>87516</v>
      </c>
      <c r="E15" s="6">
        <v>2</v>
      </c>
      <c r="F15" s="6">
        <v>6878304267</v>
      </c>
      <c r="G15" s="6" t="s">
        <v>66</v>
      </c>
      <c r="H15" s="6" t="s">
        <v>229</v>
      </c>
      <c r="I15" s="6">
        <v>2</v>
      </c>
      <c r="J15" s="6" t="s">
        <v>67</v>
      </c>
      <c r="K15" s="6" t="s">
        <v>68</v>
      </c>
      <c r="L15" s="6"/>
      <c r="M15" s="6"/>
      <c r="N15" s="6"/>
      <c r="O15" s="6"/>
      <c r="P15" s="8"/>
    </row>
    <row r="16" spans="1:16" x14ac:dyDescent="0.25">
      <c r="A16" s="20"/>
      <c r="B16" s="6" t="s">
        <v>65</v>
      </c>
      <c r="C16" s="12">
        <v>46226</v>
      </c>
      <c r="D16" s="6">
        <v>87520</v>
      </c>
      <c r="E16" s="6">
        <v>3</v>
      </c>
      <c r="F16" s="6">
        <v>6878309021</v>
      </c>
      <c r="G16" s="6" t="s">
        <v>66</v>
      </c>
      <c r="H16" s="6">
        <v>1158</v>
      </c>
      <c r="I16" s="6">
        <v>29</v>
      </c>
      <c r="J16" s="6" t="s">
        <v>67</v>
      </c>
      <c r="K16" s="6" t="s">
        <v>68</v>
      </c>
      <c r="L16" s="6"/>
      <c r="M16" s="6"/>
      <c r="N16" s="6"/>
      <c r="O16" s="6"/>
      <c r="P16" s="8"/>
    </row>
    <row r="17" spans="1:16" x14ac:dyDescent="0.25">
      <c r="A17" s="20"/>
      <c r="B17" s="6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</row>
    <row r="18" spans="1:16" x14ac:dyDescent="0.25">
      <c r="A18" s="20"/>
      <c r="B18" s="9"/>
      <c r="C18" s="10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1"/>
    </row>
  </sheetData>
  <mergeCells count="3">
    <mergeCell ref="A2:A7"/>
    <mergeCell ref="A8:A10"/>
    <mergeCell ref="A12:A18"/>
  </mergeCells>
  <conditionalFormatting sqref="G2:H18">
    <cfRule type="cellIs" dxfId="21" priority="7" operator="equal">
      <formula>"Sim"</formula>
    </cfRule>
    <cfRule type="cellIs" dxfId="20" priority="8" operator="equal">
      <formula>"Não"</formula>
    </cfRule>
  </conditionalFormatting>
  <conditionalFormatting sqref="J2:J18">
    <cfRule type="cellIs" dxfId="19" priority="5" operator="equal">
      <formula>"Não"</formula>
    </cfRule>
    <cfRule type="cellIs" dxfId="18" priority="6" operator="equal">
      <formula>"SIm"</formula>
    </cfRule>
  </conditionalFormatting>
  <conditionalFormatting sqref="J6">
    <cfRule type="cellIs" dxfId="17" priority="18" operator="equal">
      <formula>"Sim"</formula>
    </cfRule>
  </conditionalFormatting>
  <conditionalFormatting sqref="K2:K18">
    <cfRule type="cellIs" dxfId="16" priority="1" operator="equal">
      <formula>"Aberto"</formula>
    </cfRule>
    <cfRule type="cellIs" dxfId="15" priority="2" operator="equal">
      <formula>"Abrir"</formula>
    </cfRule>
    <cfRule type="cellIs" dxfId="14" priority="3" operator="equal">
      <formula>"Respondido"</formula>
    </cfRule>
    <cfRule type="cellIs" dxfId="13" priority="4" operator="equal">
      <formula>"NA"</formula>
    </cfRule>
  </conditionalFormatting>
  <conditionalFormatting sqref="L2:L18">
    <cfRule type="cellIs" dxfId="12" priority="19" operator="equal">
      <formula>8</formula>
    </cfRule>
    <cfRule type="cellIs" dxfId="11" priority="20" operator="equal">
      <formula>7</formula>
    </cfRule>
    <cfRule type="cellIs" dxfId="10" priority="21" operator="equal">
      <formula>5</formula>
    </cfRule>
    <cfRule type="cellIs" dxfId="9" priority="22" operator="equal">
      <formula>4</formula>
    </cfRule>
    <cfRule type="cellIs" dxfId="8" priority="23" operator="equal">
      <formula>2</formula>
    </cfRule>
    <cfRule type="cellIs" dxfId="7" priority="24" operator="equal">
      <formula>3</formula>
    </cfRule>
    <cfRule type="cellIs" dxfId="6" priority="25" operator="equal">
      <formula>1</formula>
    </cfRule>
    <cfRule type="cellIs" dxfId="5" priority="26" operator="equal">
      <formula>9</formula>
    </cfRule>
    <cfRule type="cellIs" dxfId="4" priority="27" operator="equal">
      <formula>6</formula>
    </cfRule>
  </conditionalFormatting>
  <conditionalFormatting sqref="M2:M18">
    <cfRule type="cellIs" dxfId="3" priority="16" operator="equal">
      <formula>"Sim"</formula>
    </cfRule>
    <cfRule type="cellIs" dxfId="2" priority="17" operator="equal">
      <formula>"Não"</formula>
    </cfRule>
  </conditionalFormatting>
  <conditionalFormatting sqref="P2:P18">
    <cfRule type="cellIs" dxfId="1" priority="11" operator="equal">
      <formula>"Email enviado"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1E71-179D-477A-9226-D4B51EEC218A}">
  <sheetPr codeName="Sheet2"/>
  <dimension ref="A1:B112"/>
  <sheetViews>
    <sheetView topLeftCell="A88" workbookViewId="0">
      <selection activeCell="C110" sqref="C110"/>
    </sheetView>
  </sheetViews>
  <sheetFormatPr defaultRowHeight="15" x14ac:dyDescent="0.25"/>
  <sheetData>
    <row r="1" spans="1:2" x14ac:dyDescent="0.25">
      <c r="A1" s="2" t="s">
        <v>37</v>
      </c>
      <c r="B1" s="2" t="s">
        <v>38</v>
      </c>
    </row>
    <row r="2" spans="1:2" x14ac:dyDescent="0.25">
      <c r="A2">
        <v>10053057</v>
      </c>
      <c r="B2" t="s">
        <v>41</v>
      </c>
    </row>
    <row r="3" spans="1:2" x14ac:dyDescent="0.25">
      <c r="A3">
        <v>10158803</v>
      </c>
      <c r="B3" t="s">
        <v>39</v>
      </c>
    </row>
    <row r="4" spans="1:2" x14ac:dyDescent="0.25">
      <c r="A4">
        <v>10165171</v>
      </c>
      <c r="B4" t="s">
        <v>39</v>
      </c>
    </row>
    <row r="5" spans="1:2" x14ac:dyDescent="0.25">
      <c r="A5">
        <v>10186344</v>
      </c>
      <c r="B5" t="s">
        <v>39</v>
      </c>
    </row>
    <row r="6" spans="1:2" x14ac:dyDescent="0.25">
      <c r="A6">
        <v>10198819</v>
      </c>
      <c r="B6" t="s">
        <v>43</v>
      </c>
    </row>
    <row r="7" spans="1:2" x14ac:dyDescent="0.25">
      <c r="A7">
        <v>10199089</v>
      </c>
      <c r="B7" t="s">
        <v>39</v>
      </c>
    </row>
    <row r="8" spans="1:2" x14ac:dyDescent="0.25">
      <c r="A8">
        <v>10208003</v>
      </c>
      <c r="B8" t="s">
        <v>39</v>
      </c>
    </row>
    <row r="9" spans="1:2" x14ac:dyDescent="0.25">
      <c r="A9">
        <v>10208004</v>
      </c>
      <c r="B9" t="s">
        <v>39</v>
      </c>
    </row>
    <row r="10" spans="1:2" x14ac:dyDescent="0.25">
      <c r="A10">
        <v>10208005</v>
      </c>
      <c r="B10" t="s">
        <v>39</v>
      </c>
    </row>
    <row r="11" spans="1:2" x14ac:dyDescent="0.25">
      <c r="A11">
        <v>10208167</v>
      </c>
      <c r="B11" t="s">
        <v>40</v>
      </c>
    </row>
    <row r="12" spans="1:2" x14ac:dyDescent="0.25">
      <c r="A12">
        <v>10215610</v>
      </c>
      <c r="B12" t="s">
        <v>39</v>
      </c>
    </row>
    <row r="13" spans="1:2" x14ac:dyDescent="0.25">
      <c r="A13">
        <v>10215641</v>
      </c>
      <c r="B13" t="s">
        <v>39</v>
      </c>
    </row>
    <row r="14" spans="1:2" x14ac:dyDescent="0.25">
      <c r="A14">
        <v>10223108</v>
      </c>
      <c r="B14" t="s">
        <v>43</v>
      </c>
    </row>
    <row r="15" spans="1:2" x14ac:dyDescent="0.25">
      <c r="A15">
        <v>10223112</v>
      </c>
      <c r="B15" t="s">
        <v>39</v>
      </c>
    </row>
    <row r="16" spans="1:2" x14ac:dyDescent="0.25">
      <c r="A16">
        <v>10223123</v>
      </c>
      <c r="B16" t="s">
        <v>39</v>
      </c>
    </row>
    <row r="17" spans="1:2" x14ac:dyDescent="0.25">
      <c r="A17">
        <v>10223131</v>
      </c>
      <c r="B17" t="s">
        <v>43</v>
      </c>
    </row>
    <row r="18" spans="1:2" x14ac:dyDescent="0.25">
      <c r="A18">
        <v>10223132</v>
      </c>
      <c r="B18" t="s">
        <v>43</v>
      </c>
    </row>
    <row r="19" spans="1:2" x14ac:dyDescent="0.25">
      <c r="A19">
        <v>10223435</v>
      </c>
      <c r="B19" t="s">
        <v>39</v>
      </c>
    </row>
    <row r="20" spans="1:2" x14ac:dyDescent="0.25">
      <c r="A20">
        <v>10223657</v>
      </c>
      <c r="B20" t="s">
        <v>39</v>
      </c>
    </row>
    <row r="21" spans="1:2" x14ac:dyDescent="0.25">
      <c r="A21">
        <v>10224283</v>
      </c>
      <c r="B21" t="s">
        <v>39</v>
      </c>
    </row>
    <row r="22" spans="1:2" x14ac:dyDescent="0.25">
      <c r="A22">
        <v>10224293</v>
      </c>
      <c r="B22" t="s">
        <v>39</v>
      </c>
    </row>
    <row r="23" spans="1:2" x14ac:dyDescent="0.25">
      <c r="A23">
        <v>10224317</v>
      </c>
      <c r="B23" t="s">
        <v>39</v>
      </c>
    </row>
    <row r="24" spans="1:2" x14ac:dyDescent="0.25">
      <c r="A24">
        <v>10224317</v>
      </c>
      <c r="B24" t="s">
        <v>39</v>
      </c>
    </row>
    <row r="25" spans="1:2" x14ac:dyDescent="0.25">
      <c r="A25">
        <v>10224318</v>
      </c>
      <c r="B25" t="s">
        <v>39</v>
      </c>
    </row>
    <row r="26" spans="1:2" x14ac:dyDescent="0.25">
      <c r="A26">
        <v>10224318</v>
      </c>
      <c r="B26" t="s">
        <v>39</v>
      </c>
    </row>
    <row r="27" spans="1:2" x14ac:dyDescent="0.25">
      <c r="A27">
        <v>10224332</v>
      </c>
      <c r="B27" t="s">
        <v>39</v>
      </c>
    </row>
    <row r="28" spans="1:2" x14ac:dyDescent="0.25">
      <c r="A28">
        <v>10224332</v>
      </c>
      <c r="B28" t="s">
        <v>43</v>
      </c>
    </row>
    <row r="29" spans="1:2" x14ac:dyDescent="0.25">
      <c r="A29">
        <v>10224333</v>
      </c>
      <c r="B29" t="s">
        <v>39</v>
      </c>
    </row>
    <row r="30" spans="1:2" x14ac:dyDescent="0.25">
      <c r="A30">
        <v>10224333</v>
      </c>
      <c r="B30" t="s">
        <v>39</v>
      </c>
    </row>
    <row r="31" spans="1:2" x14ac:dyDescent="0.25">
      <c r="A31">
        <v>10225180</v>
      </c>
      <c r="B31" t="s">
        <v>43</v>
      </c>
    </row>
    <row r="32" spans="1:2" x14ac:dyDescent="0.25">
      <c r="A32">
        <v>10226339</v>
      </c>
      <c r="B32" t="s">
        <v>39</v>
      </c>
    </row>
    <row r="33" spans="1:2" x14ac:dyDescent="0.25">
      <c r="A33">
        <v>10226359</v>
      </c>
      <c r="B33" t="s">
        <v>39</v>
      </c>
    </row>
    <row r="34" spans="1:2" x14ac:dyDescent="0.25">
      <c r="A34">
        <v>10226361</v>
      </c>
      <c r="B34" t="s">
        <v>43</v>
      </c>
    </row>
    <row r="35" spans="1:2" x14ac:dyDescent="0.25">
      <c r="A35">
        <v>10226362</v>
      </c>
      <c r="B35" t="s">
        <v>43</v>
      </c>
    </row>
    <row r="36" spans="1:2" x14ac:dyDescent="0.25">
      <c r="A36">
        <v>10226362</v>
      </c>
      <c r="B36" t="s">
        <v>43</v>
      </c>
    </row>
    <row r="37" spans="1:2" x14ac:dyDescent="0.25">
      <c r="A37">
        <v>10226363</v>
      </c>
      <c r="B37" t="s">
        <v>39</v>
      </c>
    </row>
    <row r="38" spans="1:2" x14ac:dyDescent="0.25">
      <c r="A38">
        <v>10226367</v>
      </c>
      <c r="B38" t="s">
        <v>42</v>
      </c>
    </row>
    <row r="39" spans="1:2" x14ac:dyDescent="0.25">
      <c r="A39">
        <v>10226368</v>
      </c>
      <c r="B39" t="s">
        <v>42</v>
      </c>
    </row>
    <row r="40" spans="1:2" x14ac:dyDescent="0.25">
      <c r="A40">
        <v>10226371</v>
      </c>
      <c r="B40" t="s">
        <v>39</v>
      </c>
    </row>
    <row r="41" spans="1:2" x14ac:dyDescent="0.25">
      <c r="A41">
        <v>10226372</v>
      </c>
      <c r="B41" t="s">
        <v>39</v>
      </c>
    </row>
    <row r="42" spans="1:2" x14ac:dyDescent="0.25">
      <c r="A42">
        <v>10226373</v>
      </c>
      <c r="B42" t="s">
        <v>39</v>
      </c>
    </row>
    <row r="43" spans="1:2" x14ac:dyDescent="0.25">
      <c r="A43">
        <v>10226374</v>
      </c>
      <c r="B43" t="s">
        <v>42</v>
      </c>
    </row>
    <row r="44" spans="1:2" x14ac:dyDescent="0.25">
      <c r="A44">
        <v>10226380</v>
      </c>
      <c r="B44" t="s">
        <v>39</v>
      </c>
    </row>
    <row r="45" spans="1:2" x14ac:dyDescent="0.25">
      <c r="A45">
        <v>10226385</v>
      </c>
      <c r="B45" t="s">
        <v>43</v>
      </c>
    </row>
    <row r="46" spans="1:2" x14ac:dyDescent="0.25">
      <c r="A46">
        <v>10226386</v>
      </c>
      <c r="B46" t="s">
        <v>39</v>
      </c>
    </row>
    <row r="47" spans="1:2" x14ac:dyDescent="0.25">
      <c r="A47">
        <v>10226387</v>
      </c>
      <c r="B47" t="s">
        <v>39</v>
      </c>
    </row>
    <row r="48" spans="1:2" x14ac:dyDescent="0.25">
      <c r="A48">
        <v>10226388</v>
      </c>
      <c r="B48" t="s">
        <v>39</v>
      </c>
    </row>
    <row r="49" spans="1:2" x14ac:dyDescent="0.25">
      <c r="A49">
        <v>10226392</v>
      </c>
      <c r="B49" t="s">
        <v>39</v>
      </c>
    </row>
    <row r="50" spans="1:2" x14ac:dyDescent="0.25">
      <c r="A50">
        <v>10226396</v>
      </c>
      <c r="B50" t="s">
        <v>39</v>
      </c>
    </row>
    <row r="51" spans="1:2" x14ac:dyDescent="0.25">
      <c r="A51">
        <v>10226397</v>
      </c>
      <c r="B51" t="s">
        <v>43</v>
      </c>
    </row>
    <row r="52" spans="1:2" x14ac:dyDescent="0.25">
      <c r="A52">
        <v>10226398</v>
      </c>
      <c r="B52" t="s">
        <v>43</v>
      </c>
    </row>
    <row r="53" spans="1:2" x14ac:dyDescent="0.25">
      <c r="A53">
        <v>10226399</v>
      </c>
      <c r="B53" t="s">
        <v>39</v>
      </c>
    </row>
    <row r="54" spans="1:2" x14ac:dyDescent="0.25">
      <c r="A54">
        <v>10226400</v>
      </c>
      <c r="B54" t="s">
        <v>39</v>
      </c>
    </row>
    <row r="55" spans="1:2" x14ac:dyDescent="0.25">
      <c r="A55">
        <v>10226401</v>
      </c>
      <c r="B55" t="s">
        <v>39</v>
      </c>
    </row>
    <row r="56" spans="1:2" x14ac:dyDescent="0.25">
      <c r="A56">
        <v>10226402</v>
      </c>
      <c r="B56" t="s">
        <v>43</v>
      </c>
    </row>
    <row r="57" spans="1:2" x14ac:dyDescent="0.25">
      <c r="A57">
        <v>10226403</v>
      </c>
      <c r="B57" t="s">
        <v>43</v>
      </c>
    </row>
    <row r="58" spans="1:2" x14ac:dyDescent="0.25">
      <c r="A58">
        <v>10226404</v>
      </c>
      <c r="B58" t="s">
        <v>39</v>
      </c>
    </row>
    <row r="59" spans="1:2" x14ac:dyDescent="0.25">
      <c r="A59">
        <v>10226405</v>
      </c>
      <c r="B59" t="s">
        <v>39</v>
      </c>
    </row>
    <row r="60" spans="1:2" x14ac:dyDescent="0.25">
      <c r="A60">
        <v>10226406</v>
      </c>
      <c r="B60" t="s">
        <v>39</v>
      </c>
    </row>
    <row r="61" spans="1:2" x14ac:dyDescent="0.25">
      <c r="A61">
        <v>10226407</v>
      </c>
      <c r="B61" t="s">
        <v>39</v>
      </c>
    </row>
    <row r="62" spans="1:2" x14ac:dyDescent="0.25">
      <c r="A62">
        <v>10226409</v>
      </c>
      <c r="B62" t="s">
        <v>43</v>
      </c>
    </row>
    <row r="63" spans="1:2" x14ac:dyDescent="0.25">
      <c r="A63">
        <v>10226410</v>
      </c>
      <c r="B63" t="s">
        <v>39</v>
      </c>
    </row>
    <row r="64" spans="1:2" x14ac:dyDescent="0.25">
      <c r="A64">
        <v>10226412</v>
      </c>
      <c r="B64" t="s">
        <v>39</v>
      </c>
    </row>
    <row r="65" spans="1:2" x14ac:dyDescent="0.25">
      <c r="A65">
        <v>10226413</v>
      </c>
      <c r="B65" t="s">
        <v>39</v>
      </c>
    </row>
    <row r="66" spans="1:2" x14ac:dyDescent="0.25">
      <c r="A66">
        <v>10226415</v>
      </c>
      <c r="B66" t="s">
        <v>39</v>
      </c>
    </row>
    <row r="67" spans="1:2" x14ac:dyDescent="0.25">
      <c r="A67">
        <v>10226417</v>
      </c>
      <c r="B67" t="s">
        <v>43</v>
      </c>
    </row>
    <row r="68" spans="1:2" x14ac:dyDescent="0.25">
      <c r="A68">
        <v>10226418</v>
      </c>
      <c r="B68" t="s">
        <v>39</v>
      </c>
    </row>
    <row r="69" spans="1:2" x14ac:dyDescent="0.25">
      <c r="A69">
        <v>10226420</v>
      </c>
      <c r="B69" t="s">
        <v>43</v>
      </c>
    </row>
    <row r="70" spans="1:2" x14ac:dyDescent="0.25">
      <c r="A70">
        <v>10226421</v>
      </c>
      <c r="B70" t="s">
        <v>39</v>
      </c>
    </row>
    <row r="71" spans="1:2" x14ac:dyDescent="0.25">
      <c r="A71">
        <v>10226422</v>
      </c>
      <c r="B71" t="s">
        <v>39</v>
      </c>
    </row>
    <row r="72" spans="1:2" x14ac:dyDescent="0.25">
      <c r="A72">
        <v>10226425</v>
      </c>
      <c r="B72" t="s">
        <v>39</v>
      </c>
    </row>
    <row r="73" spans="1:2" x14ac:dyDescent="0.25">
      <c r="A73">
        <v>10226427</v>
      </c>
      <c r="B73" t="s">
        <v>43</v>
      </c>
    </row>
    <row r="74" spans="1:2" x14ac:dyDescent="0.25">
      <c r="A74">
        <v>10226429</v>
      </c>
      <c r="B74" t="s">
        <v>43</v>
      </c>
    </row>
    <row r="75" spans="1:2" x14ac:dyDescent="0.25">
      <c r="A75">
        <v>10226430</v>
      </c>
      <c r="B75" t="s">
        <v>43</v>
      </c>
    </row>
    <row r="76" spans="1:2" x14ac:dyDescent="0.25">
      <c r="A76">
        <v>10226431</v>
      </c>
      <c r="B76" t="s">
        <v>43</v>
      </c>
    </row>
    <row r="77" spans="1:2" x14ac:dyDescent="0.25">
      <c r="A77">
        <v>10226432</v>
      </c>
      <c r="B77" t="s">
        <v>43</v>
      </c>
    </row>
    <row r="78" spans="1:2" x14ac:dyDescent="0.25">
      <c r="A78">
        <v>10226435</v>
      </c>
      <c r="B78" t="s">
        <v>39</v>
      </c>
    </row>
    <row r="79" spans="1:2" x14ac:dyDescent="0.25">
      <c r="A79">
        <v>10226437</v>
      </c>
      <c r="B79" t="s">
        <v>39</v>
      </c>
    </row>
    <row r="80" spans="1:2" x14ac:dyDescent="0.25">
      <c r="A80">
        <v>10226438</v>
      </c>
      <c r="B80" t="s">
        <v>39</v>
      </c>
    </row>
    <row r="81" spans="1:2" x14ac:dyDescent="0.25">
      <c r="A81">
        <v>10226439</v>
      </c>
      <c r="B81" t="s">
        <v>39</v>
      </c>
    </row>
    <row r="82" spans="1:2" x14ac:dyDescent="0.25">
      <c r="A82">
        <v>10226441</v>
      </c>
      <c r="B82" t="s">
        <v>39</v>
      </c>
    </row>
    <row r="83" spans="1:2" x14ac:dyDescent="0.25">
      <c r="A83">
        <v>10226442</v>
      </c>
      <c r="B83" t="s">
        <v>39</v>
      </c>
    </row>
    <row r="84" spans="1:2" x14ac:dyDescent="0.25">
      <c r="A84">
        <v>10226444</v>
      </c>
      <c r="B84" t="s">
        <v>39</v>
      </c>
    </row>
    <row r="85" spans="1:2" x14ac:dyDescent="0.25">
      <c r="A85">
        <v>10226445</v>
      </c>
      <c r="B85" t="s">
        <v>39</v>
      </c>
    </row>
    <row r="86" spans="1:2" x14ac:dyDescent="0.25">
      <c r="A86">
        <v>10226446</v>
      </c>
      <c r="B86" t="s">
        <v>39</v>
      </c>
    </row>
    <row r="87" spans="1:2" x14ac:dyDescent="0.25">
      <c r="A87">
        <v>10226447</v>
      </c>
      <c r="B87" t="s">
        <v>39</v>
      </c>
    </row>
    <row r="88" spans="1:2" x14ac:dyDescent="0.25">
      <c r="A88">
        <v>10226452</v>
      </c>
      <c r="B88" t="s">
        <v>40</v>
      </c>
    </row>
    <row r="89" spans="1:2" x14ac:dyDescent="0.25">
      <c r="A89">
        <v>10226453</v>
      </c>
      <c r="B89" t="s">
        <v>39</v>
      </c>
    </row>
    <row r="90" spans="1:2" x14ac:dyDescent="0.25">
      <c r="A90">
        <v>10226454</v>
      </c>
      <c r="B90" t="s">
        <v>39</v>
      </c>
    </row>
    <row r="91" spans="1:2" x14ac:dyDescent="0.25">
      <c r="A91">
        <v>10226455</v>
      </c>
      <c r="B91" t="s">
        <v>39</v>
      </c>
    </row>
    <row r="92" spans="1:2" x14ac:dyDescent="0.25">
      <c r="A92">
        <v>10226463</v>
      </c>
      <c r="B92" t="s">
        <v>43</v>
      </c>
    </row>
    <row r="93" spans="1:2" x14ac:dyDescent="0.25">
      <c r="A93">
        <v>10226618</v>
      </c>
      <c r="B93" t="s">
        <v>43</v>
      </c>
    </row>
    <row r="94" spans="1:2" x14ac:dyDescent="0.25">
      <c r="A94">
        <v>10226781</v>
      </c>
      <c r="B94" t="s">
        <v>43</v>
      </c>
    </row>
    <row r="95" spans="1:2" x14ac:dyDescent="0.25">
      <c r="A95">
        <v>10227069</v>
      </c>
      <c r="B95" t="s">
        <v>39</v>
      </c>
    </row>
    <row r="96" spans="1:2" x14ac:dyDescent="0.25">
      <c r="A96">
        <v>10227309</v>
      </c>
      <c r="B96" t="s">
        <v>43</v>
      </c>
    </row>
    <row r="97" spans="1:2" x14ac:dyDescent="0.25">
      <c r="A97">
        <v>10227310</v>
      </c>
      <c r="B97" t="s">
        <v>43</v>
      </c>
    </row>
    <row r="98" spans="1:2" x14ac:dyDescent="0.25">
      <c r="A98">
        <v>10227896</v>
      </c>
      <c r="B98" t="s">
        <v>39</v>
      </c>
    </row>
    <row r="99" spans="1:2" x14ac:dyDescent="0.25">
      <c r="A99">
        <v>10230675</v>
      </c>
      <c r="B99" t="s">
        <v>41</v>
      </c>
    </row>
    <row r="100" spans="1:2" x14ac:dyDescent="0.25">
      <c r="A100">
        <v>10231475</v>
      </c>
      <c r="B100" t="s">
        <v>43</v>
      </c>
    </row>
    <row r="101" spans="1:2" x14ac:dyDescent="0.25">
      <c r="A101">
        <v>10231484</v>
      </c>
      <c r="B101" t="s">
        <v>43</v>
      </c>
    </row>
    <row r="102" spans="1:2" x14ac:dyDescent="0.25">
      <c r="A102">
        <v>10236617</v>
      </c>
      <c r="B102" t="s">
        <v>43</v>
      </c>
    </row>
    <row r="103" spans="1:2" x14ac:dyDescent="0.25">
      <c r="A103">
        <v>10236618</v>
      </c>
      <c r="B103" t="s">
        <v>39</v>
      </c>
    </row>
    <row r="104" spans="1:2" x14ac:dyDescent="0.25">
      <c r="A104">
        <v>10236662</v>
      </c>
      <c r="B104" t="s">
        <v>43</v>
      </c>
    </row>
    <row r="105" spans="1:2" x14ac:dyDescent="0.25">
      <c r="A105">
        <v>10236672</v>
      </c>
      <c r="B105" t="s">
        <v>43</v>
      </c>
    </row>
    <row r="106" spans="1:2" x14ac:dyDescent="0.25">
      <c r="A106">
        <v>10238737</v>
      </c>
      <c r="B106" t="s">
        <v>42</v>
      </c>
    </row>
    <row r="107" spans="1:2" x14ac:dyDescent="0.25">
      <c r="A107">
        <v>10242280</v>
      </c>
      <c r="B107" t="s">
        <v>39</v>
      </c>
    </row>
    <row r="108" spans="1:2" x14ac:dyDescent="0.25">
      <c r="A108">
        <v>10242291</v>
      </c>
      <c r="B108" t="s">
        <v>39</v>
      </c>
    </row>
    <row r="109" spans="1:2" x14ac:dyDescent="0.25">
      <c r="A109">
        <v>10242293</v>
      </c>
      <c r="B109" t="s">
        <v>39</v>
      </c>
    </row>
    <row r="110" spans="1:2" x14ac:dyDescent="0.25">
      <c r="A110">
        <v>10247603</v>
      </c>
      <c r="B110" t="s">
        <v>42</v>
      </c>
    </row>
    <row r="111" spans="1:2" x14ac:dyDescent="0.25">
      <c r="A111">
        <v>10247604</v>
      </c>
      <c r="B111" t="s">
        <v>42</v>
      </c>
    </row>
    <row r="112" spans="1:2" x14ac:dyDescent="0.25">
      <c r="A112">
        <v>10247605</v>
      </c>
      <c r="B112" t="s">
        <v>42</v>
      </c>
    </row>
  </sheetData>
  <autoFilter ref="A1:B108" xr:uid="{3EE41E71-179D-477A-9226-D4B51EEC218A}">
    <sortState xmlns:xlrd2="http://schemas.microsoft.com/office/spreadsheetml/2017/richdata2" ref="A2:B112">
      <sortCondition ref="A1:A108"/>
    </sortState>
  </autoFilter>
  <pageMargins left="0.7" right="0.7" top="0.75" bottom="0.75" header="0.3" footer="0.3"/>
  <headerFooter>
    <oddFooter>&amp;C_x000D_&amp;1#&amp;"Aptos"&amp;10&amp;K000000 DSV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6F6F-C71D-4A8B-ACF3-EEEA8EF346CF}">
  <sheetPr codeName="Sheet3"/>
  <dimension ref="A1:F101"/>
  <sheetViews>
    <sheetView tabSelected="1" workbookViewId="0">
      <selection activeCell="E5" sqref="E5"/>
    </sheetView>
  </sheetViews>
  <sheetFormatPr defaultRowHeight="15" x14ac:dyDescent="0.25"/>
  <cols>
    <col min="1" max="1" width="13.5703125" style="16" bestFit="1" customWidth="1"/>
    <col min="2" max="2" width="11" style="16" bestFit="1" customWidth="1"/>
    <col min="3" max="3" width="9.140625" style="16"/>
    <col min="4" max="4" width="9.5703125" style="16" bestFit="1" customWidth="1"/>
    <col min="5" max="5" width="11" style="16" bestFit="1" customWidth="1"/>
    <col min="6" max="6" width="12.42578125" style="16" bestFit="1" customWidth="1"/>
    <col min="7" max="16384" width="9.140625" style="16"/>
  </cols>
  <sheetData>
    <row r="1" spans="1:6" x14ac:dyDescent="0.25">
      <c r="A1" s="14" t="s">
        <v>46</v>
      </c>
      <c r="B1" s="15" t="str">
        <f>'Colar Pedido'!A2</f>
        <v>6878309021</v>
      </c>
      <c r="C1" s="14" t="s">
        <v>47</v>
      </c>
      <c r="D1" s="15">
        <f>_xlfn.XLOOKUP(VALUE(B1),'Colar Acompanhamento'!F:F,'Colar Acompanhamento'!E:E,"")</f>
        <v>3</v>
      </c>
      <c r="E1" s="14" t="s">
        <v>48</v>
      </c>
      <c r="F1" s="15">
        <f>_xlfn.XLOOKUP(VALUE(B1),'Colar Acompanhamento'!F:F,'Colar Acompanhamento'!A:A,"")</f>
        <v>0</v>
      </c>
    </row>
    <row r="2" spans="1:6" x14ac:dyDescent="0.25">
      <c r="A2" s="3"/>
      <c r="C2" s="3"/>
      <c r="D2" s="3"/>
      <c r="E2" s="3"/>
    </row>
    <row r="3" spans="1:6" x14ac:dyDescent="0.25">
      <c r="A3" s="17" t="s">
        <v>4</v>
      </c>
      <c r="B3" s="17" t="s">
        <v>7</v>
      </c>
      <c r="C3" s="17" t="s">
        <v>8</v>
      </c>
      <c r="D3" s="17" t="s">
        <v>44</v>
      </c>
      <c r="E3" s="17" t="s">
        <v>2</v>
      </c>
      <c r="F3" s="17" t="s">
        <v>45</v>
      </c>
    </row>
    <row r="4" spans="1:6" x14ac:dyDescent="0.25">
      <c r="A4" s="16" t="str">
        <f>IF(ISBLANK('Colar Pedido'!E2), "", 'Colar Pedido'!E2)</f>
        <v>FR.01.01.01.02</v>
      </c>
      <c r="B4" s="16" t="str">
        <f>IF(ISBLANK('Colar Pedido'!H2),"",'Colar Pedido'!H2)</f>
        <v>10226421</v>
      </c>
      <c r="C4" s="16">
        <f>IF(ISBLANK('Colar Pedido'!I2),"",VALUE('Colar Pedido'!I2))</f>
        <v>20</v>
      </c>
      <c r="D4" s="16" t="str">
        <f>IF(Imprimir!B4="", "", _xlfn.XLOOKUP(VALUE(Imprimir!B4),DB!A:A,DB!B:B,""))</f>
        <v>BOX</v>
      </c>
      <c r="E4" s="16" t="str">
        <f>IF(ISBLANK('Colar Pedido'!C2),"",'Colar Pedido'!C2)</f>
        <v>0000125351</v>
      </c>
    </row>
    <row r="5" spans="1:6" x14ac:dyDescent="0.25">
      <c r="A5" s="16" t="str">
        <f>IF(ISBLANK('Colar Pedido'!E3), "", 'Colar Pedido'!E3)</f>
        <v>BLE048</v>
      </c>
      <c r="B5" s="16" t="str">
        <f>IF(ISBLANK('Colar Pedido'!H3),"",'Colar Pedido'!H3)</f>
        <v>10242292</v>
      </c>
      <c r="C5" s="16">
        <f>IF(ISBLANK('Colar Pedido'!I3),"",VALUE('Colar Pedido'!I3))</f>
        <v>400</v>
      </c>
      <c r="D5" s="16" t="str">
        <f>IF(Imprimir!B5="", "", _xlfn.XLOOKUP(VALUE(Imprimir!B5),DB!A:A,DB!B:B,""))</f>
        <v/>
      </c>
      <c r="E5" s="16" t="str">
        <f>IF(ISBLANK('Colar Pedido'!C3),"",'Colar Pedido'!C3)</f>
        <v>0000125361</v>
      </c>
    </row>
    <row r="6" spans="1:6" x14ac:dyDescent="0.25">
      <c r="A6" s="16" t="str">
        <f>IF(ISBLANK('Colar Pedido'!E4), "", 'Colar Pedido'!E4)</f>
        <v>BLE066</v>
      </c>
      <c r="B6" s="16" t="str">
        <f>IF(ISBLANK('Colar Pedido'!H4),"",'Colar Pedido'!H4)</f>
        <v>10242292</v>
      </c>
      <c r="C6" s="16">
        <f>IF(ISBLANK('Colar Pedido'!I4),"",VALUE('Colar Pedido'!I4))</f>
        <v>400</v>
      </c>
      <c r="D6" s="16" t="str">
        <f>IF(Imprimir!B6="", "", _xlfn.XLOOKUP(VALUE(Imprimir!B6),DB!A:A,DB!B:B,""))</f>
        <v/>
      </c>
      <c r="E6" s="16" t="str">
        <f>IF(ISBLANK('Colar Pedido'!C4),"",'Colar Pedido'!C4)</f>
        <v>0000125477</v>
      </c>
    </row>
    <row r="7" spans="1:6" x14ac:dyDescent="0.25">
      <c r="A7" s="16" t="str">
        <f>IF(ISBLANK('Colar Pedido'!E5), "", 'Colar Pedido'!E5)</f>
        <v>BLE069</v>
      </c>
      <c r="B7" s="16" t="str">
        <f>IF(ISBLANK('Colar Pedido'!H5),"",'Colar Pedido'!H5)</f>
        <v>10242292</v>
      </c>
      <c r="C7" s="16">
        <f>IF(ISBLANK('Colar Pedido'!I5),"",VALUE('Colar Pedido'!I5))</f>
        <v>400</v>
      </c>
      <c r="D7" s="16" t="str">
        <f>IF(Imprimir!B7="", "", _xlfn.XLOOKUP(VALUE(Imprimir!B7),DB!A:A,DB!B:B,""))</f>
        <v/>
      </c>
      <c r="E7" s="16" t="str">
        <f>IF(ISBLANK('Colar Pedido'!C5),"",'Colar Pedido'!C5)</f>
        <v>0000125478</v>
      </c>
    </row>
    <row r="8" spans="1:6" x14ac:dyDescent="0.25">
      <c r="A8" s="16" t="str">
        <f>IF(ISBLANK('Colar Pedido'!E6), "", 'Colar Pedido'!E6)</f>
        <v>BLF051</v>
      </c>
      <c r="B8" s="16" t="str">
        <f>IF(ISBLANK('Colar Pedido'!H6),"",'Colar Pedido'!H6)</f>
        <v>10242292</v>
      </c>
      <c r="C8" s="16">
        <f>IF(ISBLANK('Colar Pedido'!I6),"",VALUE('Colar Pedido'!I6))</f>
        <v>400</v>
      </c>
      <c r="D8" s="16" t="str">
        <f>IF(Imprimir!B8="", "", _xlfn.XLOOKUP(VALUE(Imprimir!B8),DB!A:A,DB!B:B,""))</f>
        <v/>
      </c>
      <c r="E8" s="16" t="str">
        <f>IF(ISBLANK('Colar Pedido'!C6),"",'Colar Pedido'!C6)</f>
        <v>0000125479</v>
      </c>
    </row>
    <row r="9" spans="1:6" x14ac:dyDescent="0.25">
      <c r="A9" s="16" t="str">
        <f>IF(ISBLANK('Colar Pedido'!E7), "", 'Colar Pedido'!E7)</f>
        <v>BLF054</v>
      </c>
      <c r="B9" s="16" t="str">
        <f>IF(ISBLANK('Colar Pedido'!H7),"",'Colar Pedido'!H7)</f>
        <v>10242292</v>
      </c>
      <c r="C9" s="16">
        <f>IF(ISBLANK('Colar Pedido'!I7),"",VALUE('Colar Pedido'!I7))</f>
        <v>400</v>
      </c>
      <c r="D9" s="16" t="str">
        <f>IF(Imprimir!B9="", "", _xlfn.XLOOKUP(VALUE(Imprimir!B9),DB!A:A,DB!B:B,""))</f>
        <v/>
      </c>
      <c r="E9" s="16" t="str">
        <f>IF(ISBLANK('Colar Pedido'!C7),"",'Colar Pedido'!C7)</f>
        <v>0000125480</v>
      </c>
    </row>
    <row r="10" spans="1:6" x14ac:dyDescent="0.25">
      <c r="A10" s="16" t="str">
        <f>IF(ISBLANK('Colar Pedido'!E8), "", 'Colar Pedido'!E8)</f>
        <v>BLF054</v>
      </c>
      <c r="B10" s="16" t="str">
        <f>IF(ISBLANK('Colar Pedido'!H8),"",'Colar Pedido'!H8)</f>
        <v>10242292</v>
      </c>
      <c r="C10" s="16">
        <f>IF(ISBLANK('Colar Pedido'!I8),"",VALUE('Colar Pedido'!I8))</f>
        <v>400</v>
      </c>
      <c r="D10" s="16" t="str">
        <f>IF(Imprimir!B10="", "", _xlfn.XLOOKUP(VALUE(Imprimir!B10),DB!A:A,DB!B:B,""))</f>
        <v/>
      </c>
      <c r="E10" s="16" t="str">
        <f>IF(ISBLANK('Colar Pedido'!C8),"",'Colar Pedido'!C8)</f>
        <v>0000125481</v>
      </c>
    </row>
    <row r="11" spans="1:6" x14ac:dyDescent="0.25">
      <c r="A11" s="16" t="str">
        <f>IF(ISBLANK('Colar Pedido'!E9), "", 'Colar Pedido'!E9)</f>
        <v>BLF056</v>
      </c>
      <c r="B11" s="16" t="str">
        <f>IF(ISBLANK('Colar Pedido'!H9),"",'Colar Pedido'!H9)</f>
        <v>10242292</v>
      </c>
      <c r="C11" s="16">
        <f>IF(ISBLANK('Colar Pedido'!I9),"",VALUE('Colar Pedido'!I9))</f>
        <v>400</v>
      </c>
      <c r="D11" s="16" t="str">
        <f>IF(Imprimir!B11="", "", _xlfn.XLOOKUP(VALUE(Imprimir!B11),DB!A:A,DB!B:B,""))</f>
        <v/>
      </c>
      <c r="E11" s="16" t="str">
        <f>IF(ISBLANK('Colar Pedido'!C9),"",'Colar Pedido'!C9)</f>
        <v>0000125482</v>
      </c>
    </row>
    <row r="12" spans="1:6" x14ac:dyDescent="0.25">
      <c r="A12" s="16" t="str">
        <f>IF(ISBLANK('Colar Pedido'!E10), "", 'Colar Pedido'!E10)</f>
        <v>BLF056</v>
      </c>
      <c r="B12" s="16" t="str">
        <f>IF(ISBLANK('Colar Pedido'!H10),"",'Colar Pedido'!H10)</f>
        <v>10242292</v>
      </c>
      <c r="C12" s="16">
        <f>IF(ISBLANK('Colar Pedido'!I10),"",VALUE('Colar Pedido'!I10))</f>
        <v>400</v>
      </c>
      <c r="D12" s="16" t="str">
        <f>IF(Imprimir!B12="", "", _xlfn.XLOOKUP(VALUE(Imprimir!B12),DB!A:A,DB!B:B,""))</f>
        <v/>
      </c>
      <c r="E12" s="16" t="str">
        <f>IF(ISBLANK('Colar Pedido'!C10),"",'Colar Pedido'!C10)</f>
        <v>0000125483</v>
      </c>
    </row>
    <row r="13" spans="1:6" x14ac:dyDescent="0.25">
      <c r="A13" s="16" t="str">
        <f>IF(ISBLANK('Colar Pedido'!E11), "", 'Colar Pedido'!E11)</f>
        <v>BLF070</v>
      </c>
      <c r="B13" s="16" t="str">
        <f>IF(ISBLANK('Colar Pedido'!H11),"",'Colar Pedido'!H11)</f>
        <v>10242292</v>
      </c>
      <c r="C13" s="16">
        <f>IF(ISBLANK('Colar Pedido'!I11),"",VALUE('Colar Pedido'!I11))</f>
        <v>400</v>
      </c>
      <c r="D13" s="16" t="str">
        <f>IF(Imprimir!B13="", "", _xlfn.XLOOKUP(VALUE(Imprimir!B13),DB!A:A,DB!B:B,""))</f>
        <v/>
      </c>
      <c r="E13" s="16" t="str">
        <f>IF(ISBLANK('Colar Pedido'!C11),"",'Colar Pedido'!C11)</f>
        <v>0000125484</v>
      </c>
    </row>
    <row r="14" spans="1:6" x14ac:dyDescent="0.25">
      <c r="A14" s="16" t="str">
        <f>IF(ISBLANK('Colar Pedido'!E12), "", 'Colar Pedido'!E12)</f>
        <v>BLF072</v>
      </c>
      <c r="B14" s="16" t="str">
        <f>IF(ISBLANK('Colar Pedido'!H12),"",'Colar Pedido'!H12)</f>
        <v>10242292</v>
      </c>
      <c r="C14" s="16">
        <f>IF(ISBLANK('Colar Pedido'!I12),"",VALUE('Colar Pedido'!I12))</f>
        <v>400</v>
      </c>
      <c r="D14" s="16" t="str">
        <f>IF(Imprimir!B14="", "", _xlfn.XLOOKUP(VALUE(Imprimir!B14),DB!A:A,DB!B:B,""))</f>
        <v/>
      </c>
      <c r="E14" s="16" t="str">
        <f>IF(ISBLANK('Colar Pedido'!C12),"",'Colar Pedido'!C12)</f>
        <v>0000125485</v>
      </c>
    </row>
    <row r="15" spans="1:6" x14ac:dyDescent="0.25">
      <c r="A15" s="16" t="str">
        <f>IF(ISBLANK('Colar Pedido'!E13), "", 'Colar Pedido'!E13)</f>
        <v>BLF072</v>
      </c>
      <c r="B15" s="16" t="str">
        <f>IF(ISBLANK('Colar Pedido'!H13),"",'Colar Pedido'!H13)</f>
        <v>10242292</v>
      </c>
      <c r="C15" s="16">
        <f>IF(ISBLANK('Colar Pedido'!I13),"",VALUE('Colar Pedido'!I13))</f>
        <v>400</v>
      </c>
      <c r="D15" s="16" t="str">
        <f>IF(Imprimir!B15="", "", _xlfn.XLOOKUP(VALUE(Imprimir!B15),DB!A:A,DB!B:B,""))</f>
        <v/>
      </c>
      <c r="E15" s="16" t="str">
        <f>IF(ISBLANK('Colar Pedido'!C13),"",'Colar Pedido'!C13)</f>
        <v>0000125486</v>
      </c>
    </row>
    <row r="16" spans="1:6" x14ac:dyDescent="0.25">
      <c r="A16" s="16" t="str">
        <f>IF(ISBLANK('Colar Pedido'!E14), "", 'Colar Pedido'!E14)</f>
        <v>BLF088</v>
      </c>
      <c r="B16" s="16" t="str">
        <f>IF(ISBLANK('Colar Pedido'!H14),"",'Colar Pedido'!H14)</f>
        <v>10242292</v>
      </c>
      <c r="C16" s="16">
        <f>IF(ISBLANK('Colar Pedido'!I14),"",VALUE('Colar Pedido'!I14))</f>
        <v>400</v>
      </c>
      <c r="D16" s="16" t="str">
        <f>IF(Imprimir!B16="", "", _xlfn.XLOOKUP(VALUE(Imprimir!B16),DB!A:A,DB!B:B,""))</f>
        <v/>
      </c>
      <c r="E16" s="16" t="str">
        <f>IF(ISBLANK('Colar Pedido'!C14),"",'Colar Pedido'!C14)</f>
        <v>0000125487</v>
      </c>
    </row>
    <row r="17" spans="1:5" x14ac:dyDescent="0.25">
      <c r="A17" s="16" t="str">
        <f>IF(ISBLANK('Colar Pedido'!E15), "", 'Colar Pedido'!E15)</f>
        <v>BLF090</v>
      </c>
      <c r="B17" s="16" t="str">
        <f>IF(ISBLANK('Colar Pedido'!H15),"",'Colar Pedido'!H15)</f>
        <v>10242292</v>
      </c>
      <c r="C17" s="16">
        <f>IF(ISBLANK('Colar Pedido'!I15),"",VALUE('Colar Pedido'!I15))</f>
        <v>400</v>
      </c>
      <c r="D17" s="16" t="str">
        <f>IF(Imprimir!B17="", "", _xlfn.XLOOKUP(VALUE(Imprimir!B17),DB!A:A,DB!B:B,""))</f>
        <v/>
      </c>
      <c r="E17" s="16" t="str">
        <f>IF(ISBLANK('Colar Pedido'!C15),"",'Colar Pedido'!C15)</f>
        <v>0000125488</v>
      </c>
    </row>
    <row r="18" spans="1:5" x14ac:dyDescent="0.25">
      <c r="A18" s="16" t="str">
        <f>IF(ISBLANK('Colar Pedido'!E16), "", 'Colar Pedido'!E16)</f>
        <v>BLF090</v>
      </c>
      <c r="B18" s="16" t="str">
        <f>IF(ISBLANK('Colar Pedido'!H16),"",'Colar Pedido'!H16)</f>
        <v>10242292</v>
      </c>
      <c r="C18" s="16">
        <f>IF(ISBLANK('Colar Pedido'!I16),"",VALUE('Colar Pedido'!I16))</f>
        <v>400</v>
      </c>
      <c r="D18" s="16" t="str">
        <f>IF(Imprimir!B18="", "", _xlfn.XLOOKUP(VALUE(Imprimir!B18),DB!A:A,DB!B:B,""))</f>
        <v/>
      </c>
      <c r="E18" s="16" t="str">
        <f>IF(ISBLANK('Colar Pedido'!C16),"",'Colar Pedido'!C16)</f>
        <v>0000125489</v>
      </c>
    </row>
    <row r="19" spans="1:5" x14ac:dyDescent="0.25">
      <c r="A19" s="16" t="str">
        <f>IF(ISBLANK('Colar Pedido'!E17), "", 'Colar Pedido'!E17)</f>
        <v>BLG024</v>
      </c>
      <c r="B19" s="16" t="str">
        <f>IF(ISBLANK('Colar Pedido'!H17),"",'Colar Pedido'!H17)</f>
        <v>10242292</v>
      </c>
      <c r="C19" s="16">
        <f>IF(ISBLANK('Colar Pedido'!I17),"",VALUE('Colar Pedido'!I17))</f>
        <v>400</v>
      </c>
      <c r="D19" s="16" t="str">
        <f>IF(Imprimir!B19="", "", _xlfn.XLOOKUP(VALUE(Imprimir!B19),DB!A:A,DB!B:B,""))</f>
        <v/>
      </c>
      <c r="E19" s="16" t="str">
        <f>IF(ISBLANK('Colar Pedido'!C17),"",'Colar Pedido'!C17)</f>
        <v>0000125490</v>
      </c>
    </row>
    <row r="20" spans="1:5" x14ac:dyDescent="0.25">
      <c r="A20" s="16" t="str">
        <f>IF(ISBLANK('Colar Pedido'!E18), "", 'Colar Pedido'!E18)</f>
        <v>BLG028</v>
      </c>
      <c r="B20" s="16" t="str">
        <f>IF(ISBLANK('Colar Pedido'!H18),"",'Colar Pedido'!H18)</f>
        <v>10242292</v>
      </c>
      <c r="C20" s="16">
        <f>IF(ISBLANK('Colar Pedido'!I18),"",VALUE('Colar Pedido'!I18))</f>
        <v>400</v>
      </c>
      <c r="D20" s="16" t="str">
        <f>IF(Imprimir!B20="", "", _xlfn.XLOOKUP(VALUE(Imprimir!B20),DB!A:A,DB!B:B,""))</f>
        <v/>
      </c>
      <c r="E20" s="16" t="str">
        <f>IF(ISBLANK('Colar Pedido'!C18),"",'Colar Pedido'!C18)</f>
        <v>0000125491</v>
      </c>
    </row>
    <row r="21" spans="1:5" x14ac:dyDescent="0.25">
      <c r="A21" s="16" t="str">
        <f>IF(ISBLANK('Colar Pedido'!E19), "", 'Colar Pedido'!E19)</f>
        <v>BLG028</v>
      </c>
      <c r="B21" s="16" t="str">
        <f>IF(ISBLANK('Colar Pedido'!H19),"",'Colar Pedido'!H19)</f>
        <v>10242292</v>
      </c>
      <c r="C21" s="16">
        <f>IF(ISBLANK('Colar Pedido'!I19),"",VALUE('Colar Pedido'!I19))</f>
        <v>400</v>
      </c>
      <c r="D21" s="16" t="str">
        <f>IF(Imprimir!B21="", "", _xlfn.XLOOKUP(VALUE(Imprimir!B21),DB!A:A,DB!B:B,""))</f>
        <v/>
      </c>
      <c r="E21" s="16" t="str">
        <f>IF(ISBLANK('Colar Pedido'!C19),"",'Colar Pedido'!C19)</f>
        <v>0000125492</v>
      </c>
    </row>
    <row r="22" spans="1:5" x14ac:dyDescent="0.25">
      <c r="A22" s="16" t="str">
        <f>IF(ISBLANK('Colar Pedido'!E20), "", 'Colar Pedido'!E20)</f>
        <v>BLE013</v>
      </c>
      <c r="B22" s="16" t="str">
        <f>IF(ISBLANK('Colar Pedido'!H20),"",'Colar Pedido'!H20)</f>
        <v>10226422</v>
      </c>
      <c r="C22" s="16">
        <f>IF(ISBLANK('Colar Pedido'!I20),"",VALUE('Colar Pedido'!I20))</f>
        <v>20</v>
      </c>
      <c r="D22" s="16" t="str">
        <f>IF(Imprimir!B22="", "", _xlfn.XLOOKUP(VALUE(Imprimir!B22),DB!A:A,DB!B:B,""))</f>
        <v>BOX</v>
      </c>
      <c r="E22" s="16" t="str">
        <f>IF(ISBLANK('Colar Pedido'!C20),"",'Colar Pedido'!C20)</f>
        <v>0000125493</v>
      </c>
    </row>
    <row r="23" spans="1:5" x14ac:dyDescent="0.25">
      <c r="A23" s="16" t="str">
        <f>IF(ISBLANK('Colar Pedido'!E21), "", 'Colar Pedido'!E21)</f>
        <v>BLD081</v>
      </c>
      <c r="B23" s="16" t="str">
        <f>IF(ISBLANK('Colar Pedido'!H21),"",'Colar Pedido'!H21)</f>
        <v>10226422</v>
      </c>
      <c r="C23" s="16">
        <f>IF(ISBLANK('Colar Pedido'!I21),"",VALUE('Colar Pedido'!I21))</f>
        <v>110</v>
      </c>
      <c r="D23" s="16" t="str">
        <f>IF(Imprimir!B23="", "", _xlfn.XLOOKUP(VALUE(Imprimir!B23),DB!A:A,DB!B:B,""))</f>
        <v>BOX</v>
      </c>
      <c r="E23" s="16" t="str">
        <f>IF(ISBLANK('Colar Pedido'!C21),"",'Colar Pedido'!C21)</f>
        <v>0000125494</v>
      </c>
    </row>
    <row r="24" spans="1:5" x14ac:dyDescent="0.25">
      <c r="A24" s="16" t="str">
        <f>IF(ISBLANK('Colar Pedido'!E22), "", 'Colar Pedido'!E22)</f>
        <v>BLG025</v>
      </c>
      <c r="B24" s="16" t="str">
        <f>IF(ISBLANK('Colar Pedido'!H22),"",'Colar Pedido'!H22)</f>
        <v>10226374</v>
      </c>
      <c r="C24" s="16">
        <f>IF(ISBLANK('Colar Pedido'!I22),"",VALUE('Colar Pedido'!I22))</f>
        <v>270</v>
      </c>
      <c r="D24" s="16" t="str">
        <f>IF(Imprimir!B24="", "", _xlfn.XLOOKUP(VALUE(Imprimir!B24),DB!A:A,DB!B:B,""))</f>
        <v>NINE</v>
      </c>
      <c r="E24" s="16" t="str">
        <f>IF(ISBLANK('Colar Pedido'!C22),"",'Colar Pedido'!C22)</f>
        <v>0000125495</v>
      </c>
    </row>
    <row r="25" spans="1:5" x14ac:dyDescent="0.25">
      <c r="A25" s="16" t="str">
        <f>IF(ISBLANK('Colar Pedido'!E23), "", 'Colar Pedido'!E23)</f>
        <v>BLD074</v>
      </c>
      <c r="B25" s="16" t="str">
        <f>IF(ISBLANK('Colar Pedido'!H23),"",'Colar Pedido'!H23)</f>
        <v>10226374</v>
      </c>
      <c r="C25" s="16">
        <f>IF(ISBLANK('Colar Pedido'!I23),"",VALUE('Colar Pedido'!I23))</f>
        <v>30</v>
      </c>
      <c r="D25" s="16" t="str">
        <f>IF(Imprimir!B25="", "", _xlfn.XLOOKUP(VALUE(Imprimir!B25),DB!A:A,DB!B:B,""))</f>
        <v>NINE</v>
      </c>
      <c r="E25" s="16" t="str">
        <f>IF(ISBLANK('Colar Pedido'!C23),"",'Colar Pedido'!C23)</f>
        <v>0000125496</v>
      </c>
    </row>
    <row r="26" spans="1:5" x14ac:dyDescent="0.25">
      <c r="A26" s="16" t="str">
        <f>IF(ISBLANK('Colar Pedido'!E24), "", 'Colar Pedido'!E24)</f>
        <v>BLF053</v>
      </c>
      <c r="B26" s="16" t="str">
        <f>IF(ISBLANK('Colar Pedido'!H24),"",'Colar Pedido'!H24)</f>
        <v>10247603</v>
      </c>
      <c r="C26" s="16">
        <f>IF(ISBLANK('Colar Pedido'!I24),"",VALUE('Colar Pedido'!I24))</f>
        <v>20</v>
      </c>
      <c r="D26" s="16" t="str">
        <f>IF(Imprimir!B26="", "", _xlfn.XLOOKUP(VALUE(Imprimir!B26),DB!A:A,DB!B:B,""))</f>
        <v>NINE</v>
      </c>
      <c r="E26" s="16" t="str">
        <f>IF(ISBLANK('Colar Pedido'!C24),"",'Colar Pedido'!C24)</f>
        <v>0000125497</v>
      </c>
    </row>
    <row r="27" spans="1:5" x14ac:dyDescent="0.25">
      <c r="A27" s="16" t="str">
        <f>IF(ISBLANK('Colar Pedido'!E25), "", 'Colar Pedido'!E25)</f>
        <v>BLG013</v>
      </c>
      <c r="B27" s="16" t="str">
        <f>IF(ISBLANK('Colar Pedido'!H25),"",'Colar Pedido'!H25)</f>
        <v>10226368</v>
      </c>
      <c r="C27" s="16">
        <f>IF(ISBLANK('Colar Pedido'!I25),"",VALUE('Colar Pedido'!I25))</f>
        <v>360</v>
      </c>
      <c r="D27" s="16" t="str">
        <f>IF(Imprimir!B27="", "", _xlfn.XLOOKUP(VALUE(Imprimir!B27),DB!A:A,DB!B:B,""))</f>
        <v>NINE</v>
      </c>
      <c r="E27" s="16" t="str">
        <f>IF(ISBLANK('Colar Pedido'!C25),"",'Colar Pedido'!C25)</f>
        <v>0000125498</v>
      </c>
    </row>
    <row r="28" spans="1:5" x14ac:dyDescent="0.25">
      <c r="A28" s="16" t="str">
        <f>IF(ISBLANK('Colar Pedido'!E26), "", 'Colar Pedido'!E26)</f>
        <v>BLG014</v>
      </c>
      <c r="B28" s="16" t="str">
        <f>IF(ISBLANK('Colar Pedido'!H26),"",'Colar Pedido'!H26)</f>
        <v>10226368</v>
      </c>
      <c r="C28" s="16">
        <f>IF(ISBLANK('Colar Pedido'!I26),"",VALUE('Colar Pedido'!I26))</f>
        <v>360</v>
      </c>
      <c r="D28" s="16" t="str">
        <f>IF(Imprimir!B28="", "", _xlfn.XLOOKUP(VALUE(Imprimir!B28),DB!A:A,DB!B:B,""))</f>
        <v>NINE</v>
      </c>
      <c r="E28" s="16" t="str">
        <f>IF(ISBLANK('Colar Pedido'!C26),"",'Colar Pedido'!C26)</f>
        <v>0000125499</v>
      </c>
    </row>
    <row r="29" spans="1:5" x14ac:dyDescent="0.25">
      <c r="A29" s="16" t="str">
        <f>IF(ISBLANK('Colar Pedido'!E27), "", 'Colar Pedido'!E27)</f>
        <v>BLF079</v>
      </c>
      <c r="B29" s="16" t="str">
        <f>IF(ISBLANK('Colar Pedido'!H27),"",'Colar Pedido'!H27)</f>
        <v>10226368</v>
      </c>
      <c r="C29" s="16">
        <f>IF(ISBLANK('Colar Pedido'!I27),"",VALUE('Colar Pedido'!I27))</f>
        <v>40</v>
      </c>
      <c r="D29" s="16" t="str">
        <f>IF(Imprimir!B29="", "", _xlfn.XLOOKUP(VALUE(Imprimir!B29),DB!A:A,DB!B:B,""))</f>
        <v>NINE</v>
      </c>
      <c r="E29" s="16" t="str">
        <f>IF(ISBLANK('Colar Pedido'!C27),"",'Colar Pedido'!C27)</f>
        <v>0000125500</v>
      </c>
    </row>
    <row r="30" spans="1:5" x14ac:dyDescent="0.25">
      <c r="A30" s="16" t="str">
        <f>IF(ISBLANK('Colar Pedido'!E28), "", 'Colar Pedido'!E28)</f>
        <v>BLF026</v>
      </c>
      <c r="B30" s="16" t="str">
        <f>IF(ISBLANK('Colar Pedido'!H28),"",'Colar Pedido'!H28)</f>
        <v>10226367</v>
      </c>
      <c r="C30" s="16">
        <f>IF(ISBLANK('Colar Pedido'!I28),"",VALUE('Colar Pedido'!I28))</f>
        <v>50</v>
      </c>
      <c r="D30" s="16" t="str">
        <f>IF(Imprimir!B30="", "", _xlfn.XLOOKUP(VALUE(Imprimir!B30),DB!A:A,DB!B:B,""))</f>
        <v>NINE</v>
      </c>
      <c r="E30" s="16" t="str">
        <f>IF(ISBLANK('Colar Pedido'!C28),"",'Colar Pedido'!C28)</f>
        <v>0000125501</v>
      </c>
    </row>
    <row r="31" spans="1:5" x14ac:dyDescent="0.25">
      <c r="A31" s="16" t="str">
        <f>IF(ISBLANK('Colar Pedido'!E29), "", 'Colar Pedido'!E29)</f>
        <v>BLD069</v>
      </c>
      <c r="B31" s="16" t="str">
        <f>IF(ISBLANK('Colar Pedido'!H29),"",'Colar Pedido'!H29)</f>
        <v>10226398</v>
      </c>
      <c r="C31" s="16">
        <f>IF(ISBLANK('Colar Pedido'!I29),"",VALUE('Colar Pedido'!I29))</f>
        <v>240</v>
      </c>
      <c r="D31" s="16" t="str">
        <f>IF(Imprimir!B31="", "", _xlfn.XLOOKUP(VALUE(Imprimir!B31),DB!A:A,DB!B:B,""))</f>
        <v>SLIVE</v>
      </c>
      <c r="E31" s="16" t="str">
        <f>IF(ISBLANK('Colar Pedido'!C29),"",'Colar Pedido'!C29)</f>
        <v>0000125502</v>
      </c>
    </row>
    <row r="32" spans="1:5" x14ac:dyDescent="0.25">
      <c r="A32" s="16" t="str">
        <f>IF(ISBLANK('Colar Pedido'!E30), "", 'Colar Pedido'!E30)</f>
        <v>BLD086</v>
      </c>
      <c r="B32" s="16" t="str">
        <f>IF(ISBLANK('Colar Pedido'!H30),"",'Colar Pedido'!H30)</f>
        <v>10226398</v>
      </c>
      <c r="C32" s="16">
        <f>IF(ISBLANK('Colar Pedido'!I30),"",VALUE('Colar Pedido'!I30))</f>
        <v>20</v>
      </c>
      <c r="D32" s="16" t="str">
        <f>IF(Imprimir!B32="", "", _xlfn.XLOOKUP(VALUE(Imprimir!B32),DB!A:A,DB!B:B,""))</f>
        <v>SLIVE</v>
      </c>
      <c r="E32" s="16" t="str">
        <f>IF(ISBLANK('Colar Pedido'!C30),"",'Colar Pedido'!C30)</f>
        <v>0000125503</v>
      </c>
    </row>
    <row r="33" spans="1:5" x14ac:dyDescent="0.25">
      <c r="A33" s="16" t="str">
        <f>IF(ISBLANK('Colar Pedido'!E31), "", 'Colar Pedido'!E31)</f>
        <v>BLE029</v>
      </c>
      <c r="B33" s="16" t="str">
        <f>IF(ISBLANK('Colar Pedido'!H31),"",'Colar Pedido'!H31)</f>
        <v>10226398</v>
      </c>
      <c r="C33" s="16">
        <f>IF(ISBLANK('Colar Pedido'!I31),"",VALUE('Colar Pedido'!I31))</f>
        <v>40</v>
      </c>
      <c r="D33" s="16" t="str">
        <f>IF(Imprimir!B33="", "", _xlfn.XLOOKUP(VALUE(Imprimir!B33),DB!A:A,DB!B:B,""))</f>
        <v>SLIVE</v>
      </c>
      <c r="E33" s="16" t="str">
        <f>IF(ISBLANK('Colar Pedido'!C31),"",'Colar Pedido'!C31)</f>
        <v>0000125504</v>
      </c>
    </row>
    <row r="34" spans="1:5" x14ac:dyDescent="0.25">
      <c r="A34" s="16" t="str">
        <f>IF(ISBLANK('Colar Pedido'!E32), "", 'Colar Pedido'!E32)</f>
        <v>BLF004</v>
      </c>
      <c r="B34" s="16" t="str">
        <f>IF(ISBLANK('Colar Pedido'!H32),"",'Colar Pedido'!H32)</f>
        <v>10226461</v>
      </c>
      <c r="C34" s="16">
        <f>IF(ISBLANK('Colar Pedido'!I32),"",VALUE('Colar Pedido'!I32))</f>
        <v>400</v>
      </c>
      <c r="D34" s="16" t="str">
        <f>IF(Imprimir!B34="", "", _xlfn.XLOOKUP(VALUE(Imprimir!B34),DB!A:A,DB!B:B,""))</f>
        <v/>
      </c>
      <c r="E34" s="16" t="str">
        <f>IF(ISBLANK('Colar Pedido'!C32),"",'Colar Pedido'!C32)</f>
        <v>0000125505</v>
      </c>
    </row>
    <row r="35" spans="1:5" x14ac:dyDescent="0.25">
      <c r="A35" s="16" t="str">
        <f>IF(ISBLANK('Colar Pedido'!E33), "", 'Colar Pedido'!E33)</f>
        <v>BLF004</v>
      </c>
      <c r="B35" s="16" t="str">
        <f>IF(ISBLANK('Colar Pedido'!H33),"",'Colar Pedido'!H33)</f>
        <v>10226461</v>
      </c>
      <c r="C35" s="16">
        <f>IF(ISBLANK('Colar Pedido'!I33),"",VALUE('Colar Pedido'!I33))</f>
        <v>400</v>
      </c>
      <c r="D35" s="16" t="str">
        <f>IF(Imprimir!B35="", "", _xlfn.XLOOKUP(VALUE(Imprimir!B35),DB!A:A,DB!B:B,""))</f>
        <v/>
      </c>
      <c r="E35" s="16" t="str">
        <f>IF(ISBLANK('Colar Pedido'!C33),"",'Colar Pedido'!C33)</f>
        <v>0000125506</v>
      </c>
    </row>
    <row r="36" spans="1:5" x14ac:dyDescent="0.25">
      <c r="A36" s="16" t="str">
        <f>IF(ISBLANK('Colar Pedido'!E34), "", 'Colar Pedido'!E34)</f>
        <v>BLF075</v>
      </c>
      <c r="B36" s="16" t="str">
        <f>IF(ISBLANK('Colar Pedido'!H34),"",'Colar Pedido'!H34)</f>
        <v>10226461</v>
      </c>
      <c r="C36" s="16">
        <f>IF(ISBLANK('Colar Pedido'!I34),"",VALUE('Colar Pedido'!I34))</f>
        <v>400</v>
      </c>
      <c r="D36" s="16" t="str">
        <f>IF(Imprimir!B36="", "", _xlfn.XLOOKUP(VALUE(Imprimir!B36),DB!A:A,DB!B:B,""))</f>
        <v/>
      </c>
      <c r="E36" s="16" t="str">
        <f>IF(ISBLANK('Colar Pedido'!C34),"",'Colar Pedido'!C34)</f>
        <v>0000125507</v>
      </c>
    </row>
    <row r="37" spans="1:5" x14ac:dyDescent="0.25">
      <c r="A37" s="16" t="str">
        <f>IF(ISBLANK('Colar Pedido'!E35), "", 'Colar Pedido'!E35)</f>
        <v>BLG019</v>
      </c>
      <c r="B37" s="16" t="str">
        <f>IF(ISBLANK('Colar Pedido'!H35),"",'Colar Pedido'!H35)</f>
        <v>10226373</v>
      </c>
      <c r="C37" s="16">
        <f>IF(ISBLANK('Colar Pedido'!I35),"",VALUE('Colar Pedido'!I35))</f>
        <v>400</v>
      </c>
      <c r="D37" s="16" t="str">
        <f>IF(Imprimir!B37="", "", _xlfn.XLOOKUP(VALUE(Imprimir!B37),DB!A:A,DB!B:B,""))</f>
        <v>BOX</v>
      </c>
      <c r="E37" s="16" t="str">
        <f>IF(ISBLANK('Colar Pedido'!C35),"",'Colar Pedido'!C35)</f>
        <v>0000125508</v>
      </c>
    </row>
    <row r="38" spans="1:5" x14ac:dyDescent="0.25">
      <c r="A38" s="16" t="str">
        <f>IF(ISBLANK('Colar Pedido'!E36), "", 'Colar Pedido'!E36)</f>
        <v>BLG019</v>
      </c>
      <c r="B38" s="16" t="str">
        <f>IF(ISBLANK('Colar Pedido'!H36),"",'Colar Pedido'!H36)</f>
        <v>10226373</v>
      </c>
      <c r="C38" s="16">
        <f>IF(ISBLANK('Colar Pedido'!I36),"",VALUE('Colar Pedido'!I36))</f>
        <v>400</v>
      </c>
      <c r="D38" s="16" t="str">
        <f>IF(Imprimir!B38="", "", _xlfn.XLOOKUP(VALUE(Imprimir!B38),DB!A:A,DB!B:B,""))</f>
        <v>BOX</v>
      </c>
      <c r="E38" s="16" t="str">
        <f>IF(ISBLANK('Colar Pedido'!C36),"",'Colar Pedido'!C36)</f>
        <v>0000125509</v>
      </c>
    </row>
    <row r="39" spans="1:5" x14ac:dyDescent="0.25">
      <c r="A39" s="16" t="str">
        <f>IF(ISBLANK('Colar Pedido'!E37), "", 'Colar Pedido'!E37)</f>
        <v>BLG039</v>
      </c>
      <c r="B39" s="16" t="str">
        <f>IF(ISBLANK('Colar Pedido'!H37),"",'Colar Pedido'!H37)</f>
        <v>10226373</v>
      </c>
      <c r="C39" s="16">
        <f>IF(ISBLANK('Colar Pedido'!I37),"",VALUE('Colar Pedido'!I37))</f>
        <v>400</v>
      </c>
      <c r="D39" s="16" t="str">
        <f>IF(Imprimir!B39="", "", _xlfn.XLOOKUP(VALUE(Imprimir!B39),DB!A:A,DB!B:B,""))</f>
        <v>BOX</v>
      </c>
      <c r="E39" s="16" t="str">
        <f>IF(ISBLANK('Colar Pedido'!C37),"",'Colar Pedido'!C37)</f>
        <v>0000125510</v>
      </c>
    </row>
    <row r="40" spans="1:5" x14ac:dyDescent="0.25">
      <c r="A40" s="16" t="str">
        <f>IF(ISBLANK('Colar Pedido'!E38), "", 'Colar Pedido'!E38)</f>
        <v>BLG047</v>
      </c>
      <c r="B40" s="16" t="str">
        <f>IF(ISBLANK('Colar Pedido'!H38),"",'Colar Pedido'!H38)</f>
        <v>10226373</v>
      </c>
      <c r="C40" s="16">
        <f>IF(ISBLANK('Colar Pedido'!I38),"",VALUE('Colar Pedido'!I38))</f>
        <v>400</v>
      </c>
      <c r="D40" s="16" t="str">
        <f>IF(Imprimir!B40="", "", _xlfn.XLOOKUP(VALUE(Imprimir!B40),DB!A:A,DB!B:B,""))</f>
        <v>BOX</v>
      </c>
      <c r="E40" s="16" t="str">
        <f>IF(ISBLANK('Colar Pedido'!C38),"",'Colar Pedido'!C38)</f>
        <v>0000125511</v>
      </c>
    </row>
    <row r="41" spans="1:5" x14ac:dyDescent="0.25">
      <c r="A41" s="16" t="str">
        <f>IF(ISBLANK('Colar Pedido'!E39), "", 'Colar Pedido'!E39)</f>
        <v>BLG047</v>
      </c>
      <c r="B41" s="16" t="str">
        <f>IF(ISBLANK('Colar Pedido'!H39),"",'Colar Pedido'!H39)</f>
        <v>10226373</v>
      </c>
      <c r="C41" s="16">
        <f>IF(ISBLANK('Colar Pedido'!I39),"",VALUE('Colar Pedido'!I39))</f>
        <v>400</v>
      </c>
      <c r="D41" s="16" t="str">
        <f>IF(Imprimir!B41="", "", _xlfn.XLOOKUP(VALUE(Imprimir!B41),DB!A:A,DB!B:B,""))</f>
        <v>BOX</v>
      </c>
      <c r="E41" s="16" t="str">
        <f>IF(ISBLANK('Colar Pedido'!C39),"",'Colar Pedido'!C39)</f>
        <v>0000125512</v>
      </c>
    </row>
    <row r="42" spans="1:5" x14ac:dyDescent="0.25">
      <c r="A42" s="16" t="str">
        <f>IF(ISBLANK('Colar Pedido'!E40), "", 'Colar Pedido'!E40)</f>
        <v/>
      </c>
      <c r="B42" s="16" t="str">
        <f>IF(ISBLANK('Colar Pedido'!H40),"",'Colar Pedido'!H40)</f>
        <v/>
      </c>
      <c r="C42" s="16" t="str">
        <f>IF(ISBLANK('Colar Pedido'!I40),"",VALUE('Colar Pedido'!I40))</f>
        <v/>
      </c>
      <c r="D42" s="16" t="str">
        <f>IF(Imprimir!B42="", "", _xlfn.XLOOKUP(VALUE(Imprimir!B42),DB!A:A,DB!B:B,""))</f>
        <v/>
      </c>
      <c r="E42" s="16" t="str">
        <f>IF(ISBLANK('Colar Pedido'!C40),"",'Colar Pedido'!C40)</f>
        <v/>
      </c>
    </row>
    <row r="43" spans="1:5" x14ac:dyDescent="0.25">
      <c r="A43" s="16" t="str">
        <f>IF(ISBLANK('Colar Pedido'!E41), "", 'Colar Pedido'!E41)</f>
        <v/>
      </c>
      <c r="B43" s="16" t="str">
        <f>IF(ISBLANK('Colar Pedido'!H41),"",'Colar Pedido'!H41)</f>
        <v/>
      </c>
      <c r="C43" s="16" t="str">
        <f>IF(ISBLANK('Colar Pedido'!I41),"",VALUE('Colar Pedido'!I41))</f>
        <v/>
      </c>
      <c r="D43" s="16" t="str">
        <f>IF(Imprimir!B43="", "", _xlfn.XLOOKUP(VALUE(Imprimir!B43),DB!A:A,DB!B:B,""))</f>
        <v/>
      </c>
      <c r="E43" s="16" t="str">
        <f>IF(ISBLANK('Colar Pedido'!C41),"",'Colar Pedido'!C41)</f>
        <v/>
      </c>
    </row>
    <row r="44" spans="1:5" x14ac:dyDescent="0.25">
      <c r="A44" s="16" t="str">
        <f>IF(ISBLANK('Colar Pedido'!E42), "", 'Colar Pedido'!E42)</f>
        <v/>
      </c>
      <c r="B44" s="16" t="str">
        <f>IF(ISBLANK('Colar Pedido'!H42),"",'Colar Pedido'!H42)</f>
        <v/>
      </c>
      <c r="C44" s="16" t="str">
        <f>IF(ISBLANK('Colar Pedido'!I42),"",VALUE('Colar Pedido'!I42))</f>
        <v/>
      </c>
      <c r="D44" s="16" t="str">
        <f>IF(Imprimir!B44="", "", _xlfn.XLOOKUP(VALUE(Imprimir!B44),DB!A:A,DB!B:B,""))</f>
        <v/>
      </c>
      <c r="E44" s="16" t="str">
        <f>IF(ISBLANK('Colar Pedido'!C42),"",'Colar Pedido'!C42)</f>
        <v/>
      </c>
    </row>
    <row r="45" spans="1:5" x14ac:dyDescent="0.25">
      <c r="A45" s="16" t="str">
        <f>IF(ISBLANK('Colar Pedido'!E43), "", 'Colar Pedido'!E43)</f>
        <v/>
      </c>
      <c r="B45" s="16" t="str">
        <f>IF(ISBLANK('Colar Pedido'!H43),"",'Colar Pedido'!H43)</f>
        <v/>
      </c>
      <c r="C45" s="16" t="str">
        <f>IF(ISBLANK('Colar Pedido'!I43),"",VALUE('Colar Pedido'!I43))</f>
        <v/>
      </c>
      <c r="D45" s="16" t="str">
        <f>IF(Imprimir!B45="", "", _xlfn.XLOOKUP(VALUE(Imprimir!B45),DB!A:A,DB!B:B,""))</f>
        <v/>
      </c>
      <c r="E45" s="16" t="str">
        <f>IF(ISBLANK('Colar Pedido'!C43),"",'Colar Pedido'!C43)</f>
        <v/>
      </c>
    </row>
    <row r="46" spans="1:5" x14ac:dyDescent="0.25">
      <c r="A46" s="16" t="str">
        <f>IF(ISBLANK('Colar Pedido'!E44), "", 'Colar Pedido'!E44)</f>
        <v/>
      </c>
      <c r="B46" s="16" t="str">
        <f>IF(ISBLANK('Colar Pedido'!H44),"",'Colar Pedido'!H44)</f>
        <v/>
      </c>
      <c r="C46" s="16" t="str">
        <f>IF(ISBLANK('Colar Pedido'!I44),"",VALUE('Colar Pedido'!I44))</f>
        <v/>
      </c>
      <c r="D46" s="16" t="str">
        <f>IF(Imprimir!B46="", "", _xlfn.XLOOKUP(VALUE(Imprimir!B46),DB!A:A,DB!B:B,""))</f>
        <v/>
      </c>
      <c r="E46" s="16" t="str">
        <f>IF(ISBLANK('Colar Pedido'!C44),"",'Colar Pedido'!C44)</f>
        <v/>
      </c>
    </row>
    <row r="47" spans="1:5" x14ac:dyDescent="0.25">
      <c r="A47" s="16" t="str">
        <f>IF(ISBLANK('Colar Pedido'!E45), "", 'Colar Pedido'!E45)</f>
        <v/>
      </c>
      <c r="B47" s="16" t="str">
        <f>IF(ISBLANK('Colar Pedido'!H45),"",'Colar Pedido'!H45)</f>
        <v/>
      </c>
      <c r="C47" s="16" t="str">
        <f>IF(ISBLANK('Colar Pedido'!I45),"",VALUE('Colar Pedido'!I45))</f>
        <v/>
      </c>
      <c r="D47" s="16" t="str">
        <f>IF(Imprimir!B47="", "", _xlfn.XLOOKUP(VALUE(Imprimir!B47),DB!A:A,DB!B:B,""))</f>
        <v/>
      </c>
      <c r="E47" s="16" t="str">
        <f>IF(ISBLANK('Colar Pedido'!C45),"",'Colar Pedido'!C45)</f>
        <v/>
      </c>
    </row>
    <row r="48" spans="1:5" x14ac:dyDescent="0.25">
      <c r="A48" s="16" t="str">
        <f>IF(ISBLANK('Colar Pedido'!E46), "", 'Colar Pedido'!E46)</f>
        <v/>
      </c>
      <c r="B48" s="16" t="str">
        <f>IF(ISBLANK('Colar Pedido'!H46),"",'Colar Pedido'!H46)</f>
        <v/>
      </c>
      <c r="C48" s="16" t="str">
        <f>IF(ISBLANK('Colar Pedido'!I46),"",VALUE('Colar Pedido'!I46))</f>
        <v/>
      </c>
      <c r="D48" s="16" t="str">
        <f>IF(Imprimir!B48="", "", _xlfn.XLOOKUP(VALUE(Imprimir!B48),DB!A:A,DB!B:B,""))</f>
        <v/>
      </c>
      <c r="E48" s="16" t="str">
        <f>IF(ISBLANK('Colar Pedido'!C46),"",'Colar Pedido'!C46)</f>
        <v/>
      </c>
    </row>
    <row r="49" spans="1:5" x14ac:dyDescent="0.25">
      <c r="A49" s="16" t="str">
        <f>IF(ISBLANK('Colar Pedido'!E47), "", 'Colar Pedido'!E47)</f>
        <v/>
      </c>
      <c r="B49" s="16" t="str">
        <f>IF(ISBLANK('Colar Pedido'!H47),"",'Colar Pedido'!H47)</f>
        <v/>
      </c>
      <c r="C49" s="16" t="str">
        <f>IF(ISBLANK('Colar Pedido'!I47),"",VALUE('Colar Pedido'!I47))</f>
        <v/>
      </c>
      <c r="D49" s="16" t="str">
        <f>IF(Imprimir!B49="", "", _xlfn.XLOOKUP(VALUE(Imprimir!B49),DB!A:A,DB!B:B,""))</f>
        <v/>
      </c>
      <c r="E49" s="16" t="str">
        <f>IF(ISBLANK('Colar Pedido'!C47),"",'Colar Pedido'!C47)</f>
        <v/>
      </c>
    </row>
    <row r="50" spans="1:5" x14ac:dyDescent="0.25">
      <c r="A50" s="16" t="str">
        <f>IF(ISBLANK('Colar Pedido'!E48), "", 'Colar Pedido'!E48)</f>
        <v/>
      </c>
      <c r="B50" s="16" t="str">
        <f>IF(ISBLANK('Colar Pedido'!H48),"",'Colar Pedido'!H48)</f>
        <v/>
      </c>
      <c r="C50" s="16" t="str">
        <f>IF(ISBLANK('Colar Pedido'!I48),"",VALUE('Colar Pedido'!I48))</f>
        <v/>
      </c>
      <c r="D50" s="16" t="str">
        <f>IF(Imprimir!B50="", "", _xlfn.XLOOKUP(VALUE(Imprimir!B50),DB!A:A,DB!B:B,""))</f>
        <v/>
      </c>
      <c r="E50" s="16" t="str">
        <f>IF(ISBLANK('Colar Pedido'!C48),"",'Colar Pedido'!C48)</f>
        <v/>
      </c>
    </row>
    <row r="51" spans="1:5" x14ac:dyDescent="0.25">
      <c r="A51" s="16" t="str">
        <f>IF(ISBLANK('Colar Pedido'!E49), "", 'Colar Pedido'!E49)</f>
        <v/>
      </c>
      <c r="B51" s="16" t="str">
        <f>IF(ISBLANK('Colar Pedido'!H49),"",'Colar Pedido'!H49)</f>
        <v/>
      </c>
      <c r="C51" s="16" t="str">
        <f>IF(ISBLANK('Colar Pedido'!I49),"",VALUE('Colar Pedido'!I49))</f>
        <v/>
      </c>
      <c r="D51" s="16" t="str">
        <f>IF(Imprimir!B51="", "", _xlfn.XLOOKUP(VALUE(Imprimir!B51),DB!A:A,DB!B:B,""))</f>
        <v/>
      </c>
      <c r="E51" s="16" t="str">
        <f>IF(ISBLANK('Colar Pedido'!C49),"",'Colar Pedido'!C49)</f>
        <v/>
      </c>
    </row>
    <row r="52" spans="1:5" x14ac:dyDescent="0.25">
      <c r="A52" s="16" t="str">
        <f>IF(ISBLANK('Colar Pedido'!E50), "", 'Colar Pedido'!E50)</f>
        <v/>
      </c>
      <c r="B52" s="16" t="str">
        <f>IF(ISBLANK('Colar Pedido'!H50),"",'Colar Pedido'!H50)</f>
        <v/>
      </c>
      <c r="C52" s="16" t="str">
        <f>IF(ISBLANK('Colar Pedido'!I50),"",VALUE('Colar Pedido'!I50))</f>
        <v/>
      </c>
      <c r="D52" s="16" t="str">
        <f>IF(Imprimir!B52="", "", _xlfn.XLOOKUP(VALUE(Imprimir!B52),DB!A:A,DB!B:B,""))</f>
        <v/>
      </c>
      <c r="E52" s="16" t="str">
        <f>IF(ISBLANK('Colar Pedido'!C50),"",'Colar Pedido'!C50)</f>
        <v/>
      </c>
    </row>
    <row r="53" spans="1:5" x14ac:dyDescent="0.25">
      <c r="A53" s="16" t="str">
        <f>IF(ISBLANK('Colar Pedido'!E51), "", 'Colar Pedido'!E51)</f>
        <v/>
      </c>
      <c r="B53" s="16" t="str">
        <f>IF(ISBLANK('Colar Pedido'!H51),"",'Colar Pedido'!H51)</f>
        <v/>
      </c>
      <c r="C53" s="16" t="str">
        <f>IF(ISBLANK('Colar Pedido'!I51),"",VALUE('Colar Pedido'!I51))</f>
        <v/>
      </c>
      <c r="D53" s="16" t="str">
        <f>IF(Imprimir!B53="", "", _xlfn.XLOOKUP(VALUE(Imprimir!B53),DB!A:A,DB!B:B,""))</f>
        <v/>
      </c>
      <c r="E53" s="16" t="str">
        <f>IF(ISBLANK('Colar Pedido'!C51),"",'Colar Pedido'!C51)</f>
        <v/>
      </c>
    </row>
    <row r="54" spans="1:5" x14ac:dyDescent="0.25">
      <c r="A54" s="16" t="str">
        <f>IF(ISBLANK('Colar Pedido'!E52), "", 'Colar Pedido'!E52)</f>
        <v/>
      </c>
      <c r="B54" s="16" t="str">
        <f>IF(ISBLANK('Colar Pedido'!H52),"",'Colar Pedido'!H52)</f>
        <v/>
      </c>
      <c r="C54" s="16" t="str">
        <f>IF(ISBLANK('Colar Pedido'!I52),"",VALUE('Colar Pedido'!I52))</f>
        <v/>
      </c>
      <c r="D54" s="16" t="str">
        <f>IF(Imprimir!B54="", "", _xlfn.XLOOKUP(VALUE(Imprimir!B54),DB!A:A,DB!B:B,""))</f>
        <v/>
      </c>
      <c r="E54" s="16" t="str">
        <f>IF(ISBLANK('Colar Pedido'!C52),"",'Colar Pedido'!C52)</f>
        <v/>
      </c>
    </row>
    <row r="55" spans="1:5" x14ac:dyDescent="0.25">
      <c r="A55" s="16" t="str">
        <f>IF(ISBLANK('Colar Pedido'!E53), "", 'Colar Pedido'!E53)</f>
        <v/>
      </c>
      <c r="B55" s="16" t="str">
        <f>IF(ISBLANK('Colar Pedido'!H53),"",'Colar Pedido'!H53)</f>
        <v/>
      </c>
      <c r="C55" s="16" t="str">
        <f>IF(ISBLANK('Colar Pedido'!I53),"",VALUE('Colar Pedido'!I53))</f>
        <v/>
      </c>
      <c r="D55" s="16" t="str">
        <f>IF(Imprimir!B55="", "", _xlfn.XLOOKUP(VALUE(Imprimir!B55),DB!A:A,DB!B:B,""))</f>
        <v/>
      </c>
      <c r="E55" s="16" t="str">
        <f>IF(ISBLANK('Colar Pedido'!C53),"",'Colar Pedido'!C53)</f>
        <v/>
      </c>
    </row>
    <row r="56" spans="1:5" x14ac:dyDescent="0.25">
      <c r="A56" s="16" t="str">
        <f>IF(ISBLANK('Colar Pedido'!E54), "", 'Colar Pedido'!E54)</f>
        <v/>
      </c>
      <c r="B56" s="16" t="str">
        <f>IF(ISBLANK('Colar Pedido'!H54),"",'Colar Pedido'!H54)</f>
        <v/>
      </c>
      <c r="C56" s="16" t="str">
        <f>IF(ISBLANK('Colar Pedido'!I54),"",VALUE('Colar Pedido'!I54))</f>
        <v/>
      </c>
      <c r="D56" s="16" t="str">
        <f>IF(Imprimir!B56="", "", _xlfn.XLOOKUP(VALUE(Imprimir!B56),DB!A:A,DB!B:B,""))</f>
        <v/>
      </c>
      <c r="E56" s="16" t="str">
        <f>IF(ISBLANK('Colar Pedido'!C54),"",'Colar Pedido'!C54)</f>
        <v/>
      </c>
    </row>
    <row r="57" spans="1:5" x14ac:dyDescent="0.25">
      <c r="A57" s="16" t="str">
        <f>IF(ISBLANK('Colar Pedido'!E55), "", 'Colar Pedido'!E55)</f>
        <v/>
      </c>
      <c r="B57" s="16" t="str">
        <f>IF(ISBLANK('Colar Pedido'!H55),"",'Colar Pedido'!H55)</f>
        <v/>
      </c>
      <c r="C57" s="16" t="str">
        <f>IF(ISBLANK('Colar Pedido'!I55),"",VALUE('Colar Pedido'!I55))</f>
        <v/>
      </c>
      <c r="D57" s="16" t="str">
        <f>IF(Imprimir!B57="", "", _xlfn.XLOOKUP(VALUE(Imprimir!B57),DB!A:A,DB!B:B,""))</f>
        <v/>
      </c>
      <c r="E57" s="16" t="str">
        <f>IF(ISBLANK('Colar Pedido'!C55),"",'Colar Pedido'!C55)</f>
        <v/>
      </c>
    </row>
    <row r="58" spans="1:5" x14ac:dyDescent="0.25">
      <c r="A58" s="16" t="str">
        <f>IF(ISBLANK('Colar Pedido'!E56), "", 'Colar Pedido'!E56)</f>
        <v/>
      </c>
      <c r="B58" s="16" t="str">
        <f>IF(ISBLANK('Colar Pedido'!H56),"",'Colar Pedido'!H56)</f>
        <v/>
      </c>
      <c r="C58" s="16" t="str">
        <f>IF(ISBLANK('Colar Pedido'!I56),"",VALUE('Colar Pedido'!I56))</f>
        <v/>
      </c>
      <c r="D58" s="16" t="str">
        <f>IF(Imprimir!B58="", "", _xlfn.XLOOKUP(VALUE(Imprimir!B58),DB!A:A,DB!B:B,""))</f>
        <v/>
      </c>
      <c r="E58" s="16" t="str">
        <f>IF(ISBLANK('Colar Pedido'!C56),"",'Colar Pedido'!C56)</f>
        <v/>
      </c>
    </row>
    <row r="59" spans="1:5" x14ac:dyDescent="0.25">
      <c r="A59" s="16" t="str">
        <f>IF(ISBLANK('Colar Pedido'!E57), "", 'Colar Pedido'!E57)</f>
        <v/>
      </c>
      <c r="B59" s="16" t="str">
        <f>IF(ISBLANK('Colar Pedido'!H57),"",'Colar Pedido'!H57)</f>
        <v/>
      </c>
      <c r="C59" s="16" t="str">
        <f>IF(ISBLANK('Colar Pedido'!I57),"",VALUE('Colar Pedido'!I57))</f>
        <v/>
      </c>
      <c r="D59" s="16" t="str">
        <f>IF(Imprimir!B59="", "", _xlfn.XLOOKUP(VALUE(Imprimir!B59),DB!A:A,DB!B:B,""))</f>
        <v/>
      </c>
      <c r="E59" s="16" t="str">
        <f>IF(ISBLANK('Colar Pedido'!C57),"",'Colar Pedido'!C57)</f>
        <v/>
      </c>
    </row>
    <row r="60" spans="1:5" x14ac:dyDescent="0.25">
      <c r="A60" s="16" t="str">
        <f>IF(ISBLANK('Colar Pedido'!E58), "", 'Colar Pedido'!E58)</f>
        <v/>
      </c>
      <c r="B60" s="16" t="str">
        <f>IF(ISBLANK('Colar Pedido'!H58),"",'Colar Pedido'!H58)</f>
        <v/>
      </c>
      <c r="C60" s="16" t="str">
        <f>IF(ISBLANK('Colar Pedido'!I58),"",VALUE('Colar Pedido'!I58))</f>
        <v/>
      </c>
      <c r="D60" s="16" t="str">
        <f>IF(Imprimir!B60="", "", _xlfn.XLOOKUP(VALUE(Imprimir!B60),DB!A:A,DB!B:B,""))</f>
        <v/>
      </c>
      <c r="E60" s="16" t="str">
        <f>IF(ISBLANK('Colar Pedido'!C58),"",'Colar Pedido'!C58)</f>
        <v/>
      </c>
    </row>
    <row r="61" spans="1:5" x14ac:dyDescent="0.25">
      <c r="A61" s="16" t="str">
        <f>IF(ISBLANK('Colar Pedido'!E59), "", 'Colar Pedido'!E59)</f>
        <v/>
      </c>
      <c r="B61" s="16" t="str">
        <f>IF(ISBLANK('Colar Pedido'!H59),"",'Colar Pedido'!H59)</f>
        <v/>
      </c>
      <c r="C61" s="16" t="str">
        <f>IF(ISBLANK('Colar Pedido'!I59),"",VALUE('Colar Pedido'!I59))</f>
        <v/>
      </c>
      <c r="D61" s="16" t="str">
        <f>IF(Imprimir!B61="", "", _xlfn.XLOOKUP(VALUE(Imprimir!B61),DB!A:A,DB!B:B,""))</f>
        <v/>
      </c>
      <c r="E61" s="16" t="str">
        <f>IF(ISBLANK('Colar Pedido'!C59),"",'Colar Pedido'!C59)</f>
        <v/>
      </c>
    </row>
    <row r="62" spans="1:5" x14ac:dyDescent="0.25">
      <c r="A62" s="16" t="str">
        <f>IF(ISBLANK('Colar Pedido'!E60), "", 'Colar Pedido'!E60)</f>
        <v/>
      </c>
      <c r="B62" s="16" t="str">
        <f>IF(ISBLANK('Colar Pedido'!H60),"",'Colar Pedido'!H60)</f>
        <v/>
      </c>
      <c r="C62" s="16" t="str">
        <f>IF(ISBLANK('Colar Pedido'!I60),"",VALUE('Colar Pedido'!I60))</f>
        <v/>
      </c>
      <c r="D62" s="16" t="str">
        <f>IF(Imprimir!B62="", "", _xlfn.XLOOKUP(VALUE(Imprimir!B62),DB!A:A,DB!B:B,""))</f>
        <v/>
      </c>
      <c r="E62" s="16" t="str">
        <f>IF(ISBLANK('Colar Pedido'!C60),"",'Colar Pedido'!C60)</f>
        <v/>
      </c>
    </row>
    <row r="63" spans="1:5" x14ac:dyDescent="0.25">
      <c r="A63" s="16" t="str">
        <f>IF(ISBLANK('Colar Pedido'!E61), "", 'Colar Pedido'!E61)</f>
        <v/>
      </c>
      <c r="B63" s="16" t="str">
        <f>IF(ISBLANK('Colar Pedido'!H61),"",'Colar Pedido'!H61)</f>
        <v/>
      </c>
      <c r="C63" s="16" t="str">
        <f>IF(ISBLANK('Colar Pedido'!I61),"",VALUE('Colar Pedido'!I61))</f>
        <v/>
      </c>
      <c r="D63" s="16" t="str">
        <f>IF(Imprimir!B63="", "", _xlfn.XLOOKUP(VALUE(Imprimir!B63),DB!A:A,DB!B:B,""))</f>
        <v/>
      </c>
      <c r="E63" s="16" t="str">
        <f>IF(ISBLANK('Colar Pedido'!C61),"",'Colar Pedido'!C61)</f>
        <v/>
      </c>
    </row>
    <row r="64" spans="1:5" x14ac:dyDescent="0.25">
      <c r="A64" s="16" t="str">
        <f>IF(ISBLANK('Colar Pedido'!E62), "", 'Colar Pedido'!E62)</f>
        <v/>
      </c>
      <c r="B64" s="16" t="str">
        <f>IF(ISBLANK('Colar Pedido'!H62),"",'Colar Pedido'!H62)</f>
        <v/>
      </c>
      <c r="C64" s="16" t="str">
        <f>IF(ISBLANK('Colar Pedido'!I62),"",VALUE('Colar Pedido'!I62))</f>
        <v/>
      </c>
      <c r="D64" s="16" t="str">
        <f>IF(Imprimir!B64="", "", _xlfn.XLOOKUP(VALUE(Imprimir!B64),DB!A:A,DB!B:B,""))</f>
        <v/>
      </c>
      <c r="E64" s="16" t="str">
        <f>IF(ISBLANK('Colar Pedido'!C62),"",'Colar Pedido'!C62)</f>
        <v/>
      </c>
    </row>
    <row r="65" spans="1:5" x14ac:dyDescent="0.25">
      <c r="A65" s="16" t="str">
        <f>IF(ISBLANK('Colar Pedido'!E63), "", 'Colar Pedido'!E63)</f>
        <v/>
      </c>
      <c r="B65" s="16" t="str">
        <f>IF(ISBLANK('Colar Pedido'!H63),"",'Colar Pedido'!H63)</f>
        <v/>
      </c>
      <c r="C65" s="16" t="str">
        <f>IF(ISBLANK('Colar Pedido'!I63),"",VALUE('Colar Pedido'!I63))</f>
        <v/>
      </c>
      <c r="D65" s="16" t="str">
        <f>IF(Imprimir!B65="", "", _xlfn.XLOOKUP(VALUE(Imprimir!B65),DB!A:A,DB!B:B,""))</f>
        <v/>
      </c>
      <c r="E65" s="16" t="str">
        <f>IF(ISBLANK('Colar Pedido'!C63),"",'Colar Pedido'!C63)</f>
        <v/>
      </c>
    </row>
    <row r="66" spans="1:5" x14ac:dyDescent="0.25">
      <c r="A66" s="16" t="str">
        <f>IF(ISBLANK('Colar Pedido'!E64), "", 'Colar Pedido'!E64)</f>
        <v/>
      </c>
      <c r="B66" s="16" t="str">
        <f>IF(ISBLANK('Colar Pedido'!H64),"",'Colar Pedido'!H64)</f>
        <v/>
      </c>
      <c r="C66" s="16" t="str">
        <f>IF(ISBLANK('Colar Pedido'!I64),"",VALUE('Colar Pedido'!I64))</f>
        <v/>
      </c>
      <c r="D66" s="16" t="str">
        <f>IF(Imprimir!B66="", "", _xlfn.XLOOKUP(VALUE(Imprimir!B66),DB!A:A,DB!B:B,""))</f>
        <v/>
      </c>
      <c r="E66" s="16" t="str">
        <f>IF(ISBLANK('Colar Pedido'!C64),"",'Colar Pedido'!C64)</f>
        <v/>
      </c>
    </row>
    <row r="67" spans="1:5" x14ac:dyDescent="0.25">
      <c r="A67" s="16" t="str">
        <f>IF(ISBLANK('Colar Pedido'!E65), "", 'Colar Pedido'!E65)</f>
        <v/>
      </c>
      <c r="B67" s="16" t="str">
        <f>IF(ISBLANK('Colar Pedido'!H65),"",'Colar Pedido'!H65)</f>
        <v/>
      </c>
      <c r="C67" s="16" t="str">
        <f>IF(ISBLANK('Colar Pedido'!I65),"",VALUE('Colar Pedido'!I65))</f>
        <v/>
      </c>
      <c r="D67" s="16" t="str">
        <f>IF(Imprimir!B67="", "", _xlfn.XLOOKUP(VALUE(Imprimir!B67),DB!A:A,DB!B:B,""))</f>
        <v/>
      </c>
      <c r="E67" s="16" t="str">
        <f>IF(ISBLANK('Colar Pedido'!C65),"",'Colar Pedido'!C65)</f>
        <v/>
      </c>
    </row>
    <row r="68" spans="1:5" x14ac:dyDescent="0.25">
      <c r="A68" s="16" t="str">
        <f>IF(ISBLANK('Colar Pedido'!E66), "", 'Colar Pedido'!E66)</f>
        <v/>
      </c>
      <c r="B68" s="16" t="str">
        <f>IF(ISBLANK('Colar Pedido'!H66),"",'Colar Pedido'!H66)</f>
        <v/>
      </c>
      <c r="C68" s="16" t="str">
        <f>IF(ISBLANK('Colar Pedido'!I66),"",VALUE('Colar Pedido'!I66))</f>
        <v/>
      </c>
      <c r="D68" s="16" t="str">
        <f>IF(Imprimir!B68="", "", _xlfn.XLOOKUP(VALUE(Imprimir!B68),DB!A:A,DB!B:B,""))</f>
        <v/>
      </c>
      <c r="E68" s="16" t="str">
        <f>IF(ISBLANK('Colar Pedido'!C66),"",'Colar Pedido'!C66)</f>
        <v/>
      </c>
    </row>
    <row r="69" spans="1:5" x14ac:dyDescent="0.25">
      <c r="A69" s="16" t="str">
        <f>IF(ISBLANK('Colar Pedido'!E67), "", 'Colar Pedido'!E67)</f>
        <v/>
      </c>
      <c r="B69" s="16" t="str">
        <f>IF(ISBLANK('Colar Pedido'!H67),"",'Colar Pedido'!H67)</f>
        <v/>
      </c>
      <c r="C69" s="16" t="str">
        <f>IF(ISBLANK('Colar Pedido'!I67),"",VALUE('Colar Pedido'!I67))</f>
        <v/>
      </c>
      <c r="D69" s="16" t="str">
        <f>IF(Imprimir!B69="", "", _xlfn.XLOOKUP(VALUE(Imprimir!B69),DB!A:A,DB!B:B,""))</f>
        <v/>
      </c>
      <c r="E69" s="16" t="str">
        <f>IF(ISBLANK('Colar Pedido'!C67),"",'Colar Pedido'!C67)</f>
        <v/>
      </c>
    </row>
    <row r="70" spans="1:5" x14ac:dyDescent="0.25">
      <c r="A70" s="16" t="str">
        <f>IF(ISBLANK('Colar Pedido'!E68), "", 'Colar Pedido'!E68)</f>
        <v/>
      </c>
      <c r="B70" s="16" t="str">
        <f>IF(ISBLANK('Colar Pedido'!H68),"",'Colar Pedido'!H68)</f>
        <v/>
      </c>
      <c r="C70" s="16" t="str">
        <f>IF(ISBLANK('Colar Pedido'!I68),"",VALUE('Colar Pedido'!I68))</f>
        <v/>
      </c>
      <c r="D70" s="16" t="str">
        <f>IF(Imprimir!B70="", "", _xlfn.XLOOKUP(VALUE(Imprimir!B70),DB!A:A,DB!B:B,""))</f>
        <v/>
      </c>
      <c r="E70" s="16" t="str">
        <f>IF(ISBLANK('Colar Pedido'!C68),"",'Colar Pedido'!C68)</f>
        <v/>
      </c>
    </row>
    <row r="71" spans="1:5" x14ac:dyDescent="0.25">
      <c r="A71" s="16" t="str">
        <f>IF(ISBLANK('Colar Pedido'!E69), "", 'Colar Pedido'!E69)</f>
        <v/>
      </c>
      <c r="B71" s="16" t="str">
        <f>IF(ISBLANK('Colar Pedido'!H69),"",'Colar Pedido'!H69)</f>
        <v/>
      </c>
      <c r="C71" s="16" t="str">
        <f>IF(ISBLANK('Colar Pedido'!I69),"",VALUE('Colar Pedido'!I69))</f>
        <v/>
      </c>
      <c r="D71" s="16" t="str">
        <f>IF(Imprimir!B71="", "", _xlfn.XLOOKUP(VALUE(Imprimir!B71),DB!A:A,DB!B:B,""))</f>
        <v/>
      </c>
      <c r="E71" s="16" t="str">
        <f>IF(ISBLANK('Colar Pedido'!C69),"",'Colar Pedido'!C69)</f>
        <v/>
      </c>
    </row>
    <row r="72" spans="1:5" x14ac:dyDescent="0.25">
      <c r="A72" s="16" t="str">
        <f>IF(ISBLANK('Colar Pedido'!E70), "", 'Colar Pedido'!E70)</f>
        <v/>
      </c>
      <c r="B72" s="16" t="str">
        <f>IF(ISBLANK('Colar Pedido'!H70),"",'Colar Pedido'!H70)</f>
        <v/>
      </c>
      <c r="C72" s="16" t="str">
        <f>IF(ISBLANK('Colar Pedido'!I70),"",VALUE('Colar Pedido'!I70))</f>
        <v/>
      </c>
      <c r="D72" s="16" t="str">
        <f>IF(Imprimir!B72="", "", _xlfn.XLOOKUP(VALUE(Imprimir!B72),DB!A:A,DB!B:B,""))</f>
        <v/>
      </c>
      <c r="E72" s="16" t="str">
        <f>IF(ISBLANK('Colar Pedido'!C70),"",'Colar Pedido'!C70)</f>
        <v/>
      </c>
    </row>
    <row r="73" spans="1:5" x14ac:dyDescent="0.25">
      <c r="A73" s="16" t="str">
        <f>IF(ISBLANK('Colar Pedido'!E71), "", 'Colar Pedido'!E71)</f>
        <v/>
      </c>
      <c r="B73" s="16" t="str">
        <f>IF(ISBLANK('Colar Pedido'!H71),"",'Colar Pedido'!H71)</f>
        <v/>
      </c>
      <c r="C73" s="16" t="str">
        <f>IF(ISBLANK('Colar Pedido'!I71),"",VALUE('Colar Pedido'!I71))</f>
        <v/>
      </c>
      <c r="D73" s="16" t="str">
        <f>IF(Imprimir!B73="", "", _xlfn.XLOOKUP(VALUE(Imprimir!B73),DB!A:A,DB!B:B,""))</f>
        <v/>
      </c>
      <c r="E73" s="16" t="str">
        <f>IF(ISBLANK('Colar Pedido'!C71),"",'Colar Pedido'!C71)</f>
        <v/>
      </c>
    </row>
    <row r="74" spans="1:5" x14ac:dyDescent="0.25">
      <c r="A74" s="16" t="str">
        <f>IF(ISBLANK('Colar Pedido'!E72), "", 'Colar Pedido'!E72)</f>
        <v/>
      </c>
      <c r="B74" s="16" t="str">
        <f>IF(ISBLANK('Colar Pedido'!H72),"",'Colar Pedido'!H72)</f>
        <v/>
      </c>
      <c r="C74" s="16" t="str">
        <f>IF(ISBLANK('Colar Pedido'!I72),"",VALUE('Colar Pedido'!I72))</f>
        <v/>
      </c>
      <c r="D74" s="16" t="str">
        <f>IF(Imprimir!B74="", "", _xlfn.XLOOKUP(VALUE(Imprimir!B74),DB!A:A,DB!B:B,""))</f>
        <v/>
      </c>
      <c r="E74" s="16" t="str">
        <f>IF(ISBLANK('Colar Pedido'!C72),"",'Colar Pedido'!C72)</f>
        <v/>
      </c>
    </row>
    <row r="75" spans="1:5" x14ac:dyDescent="0.25">
      <c r="A75" s="16" t="str">
        <f>IF(ISBLANK('Colar Pedido'!E73), "", 'Colar Pedido'!E73)</f>
        <v/>
      </c>
      <c r="B75" s="16" t="str">
        <f>IF(ISBLANK('Colar Pedido'!H73),"",'Colar Pedido'!H73)</f>
        <v/>
      </c>
      <c r="C75" s="16" t="str">
        <f>IF(ISBLANK('Colar Pedido'!I73),"",VALUE('Colar Pedido'!I73))</f>
        <v/>
      </c>
      <c r="D75" s="16" t="str">
        <f>IF(Imprimir!B75="", "", _xlfn.XLOOKUP(VALUE(Imprimir!B75),DB!A:A,DB!B:B,""))</f>
        <v/>
      </c>
      <c r="E75" s="16" t="str">
        <f>IF(ISBLANK('Colar Pedido'!C73),"",'Colar Pedido'!C73)</f>
        <v/>
      </c>
    </row>
    <row r="76" spans="1:5" x14ac:dyDescent="0.25">
      <c r="A76" s="16" t="str">
        <f>IF(ISBLANK('Colar Pedido'!E74), "", 'Colar Pedido'!E74)</f>
        <v/>
      </c>
      <c r="B76" s="16" t="str">
        <f>IF(ISBLANK('Colar Pedido'!H74),"",'Colar Pedido'!H74)</f>
        <v/>
      </c>
      <c r="C76" s="16" t="str">
        <f>IF(ISBLANK('Colar Pedido'!I74),"",VALUE('Colar Pedido'!I74))</f>
        <v/>
      </c>
      <c r="D76" s="16" t="str">
        <f>IF(Imprimir!B76="", "", _xlfn.XLOOKUP(VALUE(Imprimir!B76),DB!A:A,DB!B:B,""))</f>
        <v/>
      </c>
      <c r="E76" s="16" t="str">
        <f>IF(ISBLANK('Colar Pedido'!C74),"",'Colar Pedido'!C74)</f>
        <v/>
      </c>
    </row>
    <row r="77" spans="1:5" x14ac:dyDescent="0.25">
      <c r="A77" s="16" t="str">
        <f>IF(ISBLANK('Colar Pedido'!E75), "", 'Colar Pedido'!E75)</f>
        <v/>
      </c>
      <c r="B77" s="16" t="str">
        <f>IF(ISBLANK('Colar Pedido'!H75),"",'Colar Pedido'!H75)</f>
        <v/>
      </c>
      <c r="C77" s="16" t="str">
        <f>IF(ISBLANK('Colar Pedido'!I75),"",VALUE('Colar Pedido'!I75))</f>
        <v/>
      </c>
      <c r="D77" s="16" t="str">
        <f>IF(Imprimir!B77="", "", _xlfn.XLOOKUP(VALUE(Imprimir!B77),DB!A:A,DB!B:B,""))</f>
        <v/>
      </c>
      <c r="E77" s="16" t="str">
        <f>IF(ISBLANK('Colar Pedido'!C75),"",'Colar Pedido'!C75)</f>
        <v/>
      </c>
    </row>
    <row r="78" spans="1:5" x14ac:dyDescent="0.25">
      <c r="A78" s="16" t="str">
        <f>IF(ISBLANK('Colar Pedido'!E76), "", 'Colar Pedido'!E76)</f>
        <v/>
      </c>
      <c r="B78" s="16" t="str">
        <f>IF(ISBLANK('Colar Pedido'!H76),"",'Colar Pedido'!H76)</f>
        <v/>
      </c>
      <c r="C78" s="16" t="str">
        <f>IF(ISBLANK('Colar Pedido'!I76),"",VALUE('Colar Pedido'!I76))</f>
        <v/>
      </c>
      <c r="D78" s="16" t="str">
        <f>IF(Imprimir!B78="", "", _xlfn.XLOOKUP(VALUE(Imprimir!B78),DB!A:A,DB!B:B,""))</f>
        <v/>
      </c>
      <c r="E78" s="16" t="str">
        <f>IF(ISBLANK('Colar Pedido'!C76),"",'Colar Pedido'!C76)</f>
        <v/>
      </c>
    </row>
    <row r="79" spans="1:5" x14ac:dyDescent="0.25">
      <c r="A79" s="16" t="str">
        <f>IF(ISBLANK('Colar Pedido'!E77), "", 'Colar Pedido'!E77)</f>
        <v/>
      </c>
      <c r="B79" s="16" t="str">
        <f>IF(ISBLANK('Colar Pedido'!H77),"",'Colar Pedido'!H77)</f>
        <v/>
      </c>
      <c r="C79" s="16" t="str">
        <f>IF(ISBLANK('Colar Pedido'!I77),"",VALUE('Colar Pedido'!I77))</f>
        <v/>
      </c>
      <c r="D79" s="16" t="str">
        <f>IF(Imprimir!B79="", "", _xlfn.XLOOKUP(VALUE(Imprimir!B79),DB!A:A,DB!B:B,""))</f>
        <v/>
      </c>
      <c r="E79" s="16" t="str">
        <f>IF(ISBLANK('Colar Pedido'!C77),"",'Colar Pedido'!C77)</f>
        <v/>
      </c>
    </row>
    <row r="80" spans="1:5" x14ac:dyDescent="0.25">
      <c r="A80" s="16" t="str">
        <f>IF(ISBLANK('Colar Pedido'!E78), "", 'Colar Pedido'!E78)</f>
        <v/>
      </c>
      <c r="B80" s="16" t="str">
        <f>IF(ISBLANK('Colar Pedido'!H78),"",'Colar Pedido'!H78)</f>
        <v/>
      </c>
      <c r="C80" s="16" t="str">
        <f>IF(ISBLANK('Colar Pedido'!I78),"",VALUE('Colar Pedido'!I78))</f>
        <v/>
      </c>
      <c r="D80" s="16" t="str">
        <f>IF(Imprimir!B80="", "", _xlfn.XLOOKUP(VALUE(Imprimir!B80),DB!A:A,DB!B:B,""))</f>
        <v/>
      </c>
      <c r="E80" s="16" t="str">
        <f>IF(ISBLANK('Colar Pedido'!C78),"",'Colar Pedido'!C78)</f>
        <v/>
      </c>
    </row>
    <row r="81" spans="1:5" x14ac:dyDescent="0.25">
      <c r="A81" s="16" t="str">
        <f>IF(ISBLANK('Colar Pedido'!E79), "", 'Colar Pedido'!E79)</f>
        <v/>
      </c>
      <c r="B81" s="16" t="str">
        <f>IF(ISBLANK('Colar Pedido'!H79),"",'Colar Pedido'!H79)</f>
        <v/>
      </c>
      <c r="C81" s="16" t="str">
        <f>IF(ISBLANK('Colar Pedido'!I79),"",VALUE('Colar Pedido'!I79))</f>
        <v/>
      </c>
      <c r="D81" s="16" t="str">
        <f>IF(Imprimir!B81="", "", _xlfn.XLOOKUP(VALUE(Imprimir!B81),DB!A:A,DB!B:B,""))</f>
        <v/>
      </c>
      <c r="E81" s="16" t="str">
        <f>IF(ISBLANK('Colar Pedido'!C79),"",'Colar Pedido'!C79)</f>
        <v/>
      </c>
    </row>
    <row r="82" spans="1:5" x14ac:dyDescent="0.25">
      <c r="A82" s="16" t="str">
        <f>IF(ISBLANK('Colar Pedido'!E80), "", 'Colar Pedido'!E80)</f>
        <v/>
      </c>
      <c r="B82" s="16" t="str">
        <f>IF(ISBLANK('Colar Pedido'!H80),"",'Colar Pedido'!H80)</f>
        <v/>
      </c>
      <c r="C82" s="16" t="str">
        <f>IF(ISBLANK('Colar Pedido'!I80),"",VALUE('Colar Pedido'!I80))</f>
        <v/>
      </c>
      <c r="D82" s="16" t="str">
        <f>IF(Imprimir!B82="", "", _xlfn.XLOOKUP(VALUE(Imprimir!B82),DB!A:A,DB!B:B,""))</f>
        <v/>
      </c>
      <c r="E82" s="16" t="str">
        <f>IF(ISBLANK('Colar Pedido'!C80),"",'Colar Pedido'!C80)</f>
        <v/>
      </c>
    </row>
    <row r="83" spans="1:5" x14ac:dyDescent="0.25">
      <c r="A83" s="16" t="str">
        <f>IF(ISBLANK('Colar Pedido'!E81), "", 'Colar Pedido'!E81)</f>
        <v/>
      </c>
      <c r="B83" s="16" t="str">
        <f>IF(ISBLANK('Colar Pedido'!H81),"",'Colar Pedido'!H81)</f>
        <v/>
      </c>
      <c r="C83" s="16" t="str">
        <f>IF(ISBLANK('Colar Pedido'!I81),"",VALUE('Colar Pedido'!I81))</f>
        <v/>
      </c>
      <c r="D83" s="16" t="str">
        <f>IF(Imprimir!B83="", "", _xlfn.XLOOKUP(VALUE(Imprimir!B83),DB!A:A,DB!B:B,""))</f>
        <v/>
      </c>
      <c r="E83" s="16" t="str">
        <f>IF(ISBLANK('Colar Pedido'!C81),"",'Colar Pedido'!C81)</f>
        <v/>
      </c>
    </row>
    <row r="84" spans="1:5" x14ac:dyDescent="0.25">
      <c r="A84" s="16" t="str">
        <f>IF(ISBLANK('Colar Pedido'!E82), "", 'Colar Pedido'!E82)</f>
        <v/>
      </c>
      <c r="B84" s="16" t="str">
        <f>IF(ISBLANK('Colar Pedido'!H82),"",'Colar Pedido'!H82)</f>
        <v/>
      </c>
      <c r="C84" s="16" t="str">
        <f>IF(ISBLANK('Colar Pedido'!I82),"",VALUE('Colar Pedido'!I82))</f>
        <v/>
      </c>
      <c r="D84" s="16" t="str">
        <f>IF(Imprimir!B84="", "", _xlfn.XLOOKUP(VALUE(Imprimir!B84),DB!A:A,DB!B:B,""))</f>
        <v/>
      </c>
      <c r="E84" s="16" t="str">
        <f>IF(ISBLANK('Colar Pedido'!C82),"",'Colar Pedido'!C82)</f>
        <v/>
      </c>
    </row>
    <row r="85" spans="1:5" x14ac:dyDescent="0.25">
      <c r="A85" s="16" t="str">
        <f>IF(ISBLANK('Colar Pedido'!E83), "", 'Colar Pedido'!E83)</f>
        <v/>
      </c>
      <c r="B85" s="16" t="str">
        <f>IF(ISBLANK('Colar Pedido'!H83),"",'Colar Pedido'!H83)</f>
        <v/>
      </c>
      <c r="C85" s="16" t="str">
        <f>IF(ISBLANK('Colar Pedido'!I83),"",VALUE('Colar Pedido'!I83))</f>
        <v/>
      </c>
      <c r="D85" s="16" t="str">
        <f>IF(Imprimir!B85="", "", _xlfn.XLOOKUP(VALUE(Imprimir!B85),DB!A:A,DB!B:B,""))</f>
        <v/>
      </c>
      <c r="E85" s="16" t="str">
        <f>IF(ISBLANK('Colar Pedido'!C83),"",'Colar Pedido'!C83)</f>
        <v/>
      </c>
    </row>
    <row r="86" spans="1:5" x14ac:dyDescent="0.25">
      <c r="A86" s="16" t="str">
        <f>IF(ISBLANK('Colar Pedido'!E84), "", 'Colar Pedido'!E84)</f>
        <v/>
      </c>
      <c r="B86" s="16" t="str">
        <f>IF(ISBLANK('Colar Pedido'!H84),"",'Colar Pedido'!H84)</f>
        <v/>
      </c>
      <c r="C86" s="16" t="str">
        <f>IF(ISBLANK('Colar Pedido'!I84),"",VALUE('Colar Pedido'!I84))</f>
        <v/>
      </c>
      <c r="D86" s="16" t="str">
        <f>IF(Imprimir!B86="", "", _xlfn.XLOOKUP(VALUE(Imprimir!B86),DB!A:A,DB!B:B,""))</f>
        <v/>
      </c>
      <c r="E86" s="16" t="str">
        <f>IF(ISBLANK('Colar Pedido'!C84),"",'Colar Pedido'!C84)</f>
        <v/>
      </c>
    </row>
    <row r="87" spans="1:5" x14ac:dyDescent="0.25">
      <c r="A87" s="16" t="str">
        <f>IF(ISBLANK('Colar Pedido'!E85), "", 'Colar Pedido'!E85)</f>
        <v/>
      </c>
      <c r="B87" s="16" t="str">
        <f>IF(ISBLANK('Colar Pedido'!H85),"",'Colar Pedido'!H85)</f>
        <v/>
      </c>
      <c r="C87" s="16" t="str">
        <f>IF(ISBLANK('Colar Pedido'!I85),"",VALUE('Colar Pedido'!I85))</f>
        <v/>
      </c>
      <c r="D87" s="16" t="str">
        <f>IF(Imprimir!B87="", "", _xlfn.XLOOKUP(VALUE(Imprimir!B87),DB!A:A,DB!B:B,""))</f>
        <v/>
      </c>
      <c r="E87" s="16" t="str">
        <f>IF(ISBLANK('Colar Pedido'!C85),"",'Colar Pedido'!C85)</f>
        <v/>
      </c>
    </row>
    <row r="88" spans="1:5" x14ac:dyDescent="0.25">
      <c r="A88" s="16" t="str">
        <f>IF(ISBLANK('Colar Pedido'!E86), "", 'Colar Pedido'!E86)</f>
        <v/>
      </c>
      <c r="B88" s="16" t="str">
        <f>IF(ISBLANK('Colar Pedido'!H86),"",'Colar Pedido'!H86)</f>
        <v/>
      </c>
      <c r="C88" s="16" t="str">
        <f>IF(ISBLANK('Colar Pedido'!I86),"",VALUE('Colar Pedido'!I86))</f>
        <v/>
      </c>
      <c r="D88" s="16" t="str">
        <f>IF(Imprimir!B88="", "", _xlfn.XLOOKUP(VALUE(Imprimir!B88),DB!A:A,DB!B:B,""))</f>
        <v/>
      </c>
      <c r="E88" s="16" t="str">
        <f>IF(ISBLANK('Colar Pedido'!C86),"",'Colar Pedido'!C86)</f>
        <v/>
      </c>
    </row>
    <row r="89" spans="1:5" x14ac:dyDescent="0.25">
      <c r="A89" s="16" t="str">
        <f>IF(ISBLANK('Colar Pedido'!E87), "", 'Colar Pedido'!E87)</f>
        <v/>
      </c>
      <c r="B89" s="16" t="str">
        <f>IF(ISBLANK('Colar Pedido'!H87),"",'Colar Pedido'!H87)</f>
        <v/>
      </c>
      <c r="C89" s="16" t="str">
        <f>IF(ISBLANK('Colar Pedido'!I87),"",VALUE('Colar Pedido'!I87))</f>
        <v/>
      </c>
      <c r="D89" s="16" t="str">
        <f>IF(Imprimir!B89="", "", _xlfn.XLOOKUP(VALUE(Imprimir!B89),DB!A:A,DB!B:B,""))</f>
        <v/>
      </c>
      <c r="E89" s="16" t="str">
        <f>IF(ISBLANK('Colar Pedido'!C87),"",'Colar Pedido'!C87)</f>
        <v/>
      </c>
    </row>
    <row r="90" spans="1:5" x14ac:dyDescent="0.25">
      <c r="A90" s="16" t="str">
        <f>IF(ISBLANK('Colar Pedido'!E88), "", 'Colar Pedido'!E88)</f>
        <v/>
      </c>
      <c r="B90" s="16" t="str">
        <f>IF(ISBLANK('Colar Pedido'!H88),"",'Colar Pedido'!H88)</f>
        <v/>
      </c>
      <c r="C90" s="16" t="str">
        <f>IF(ISBLANK('Colar Pedido'!I88),"",VALUE('Colar Pedido'!I88))</f>
        <v/>
      </c>
      <c r="D90" s="16" t="str">
        <f>IF(Imprimir!B90="", "", _xlfn.XLOOKUP(VALUE(Imprimir!B90),DB!A:A,DB!B:B,""))</f>
        <v/>
      </c>
      <c r="E90" s="16" t="str">
        <f>IF(ISBLANK('Colar Pedido'!C88),"",'Colar Pedido'!C88)</f>
        <v/>
      </c>
    </row>
    <row r="91" spans="1:5" x14ac:dyDescent="0.25">
      <c r="A91" s="16" t="str">
        <f>IF(ISBLANK('Colar Pedido'!E89), "", 'Colar Pedido'!E89)</f>
        <v/>
      </c>
      <c r="B91" s="16" t="str">
        <f>IF(ISBLANK('Colar Pedido'!H89),"",'Colar Pedido'!H89)</f>
        <v/>
      </c>
      <c r="C91" s="16" t="str">
        <f>IF(ISBLANK('Colar Pedido'!I89),"",VALUE('Colar Pedido'!I89))</f>
        <v/>
      </c>
      <c r="D91" s="16" t="str">
        <f>IF(Imprimir!B91="", "", _xlfn.XLOOKUP(VALUE(Imprimir!B91),DB!A:A,DB!B:B,""))</f>
        <v/>
      </c>
      <c r="E91" s="16" t="str">
        <f>IF(ISBLANK('Colar Pedido'!C89),"",'Colar Pedido'!C89)</f>
        <v/>
      </c>
    </row>
    <row r="92" spans="1:5" x14ac:dyDescent="0.25">
      <c r="A92" s="16" t="str">
        <f>IF(ISBLANK('Colar Pedido'!E90), "", 'Colar Pedido'!E90)</f>
        <v/>
      </c>
      <c r="B92" s="16" t="str">
        <f>IF(ISBLANK('Colar Pedido'!H90),"",'Colar Pedido'!H90)</f>
        <v/>
      </c>
      <c r="C92" s="16" t="str">
        <f>IF(ISBLANK('Colar Pedido'!I90),"",VALUE('Colar Pedido'!I90))</f>
        <v/>
      </c>
      <c r="D92" s="16" t="str">
        <f>IF(Imprimir!B92="", "", _xlfn.XLOOKUP(VALUE(Imprimir!B92),DB!A:A,DB!B:B,""))</f>
        <v/>
      </c>
      <c r="E92" s="16" t="str">
        <f>IF(ISBLANK('Colar Pedido'!C90),"",'Colar Pedido'!C90)</f>
        <v/>
      </c>
    </row>
    <row r="93" spans="1:5" x14ac:dyDescent="0.25">
      <c r="A93" s="16" t="str">
        <f>IF(ISBLANK('Colar Pedido'!E91), "", 'Colar Pedido'!E91)</f>
        <v/>
      </c>
      <c r="B93" s="16" t="str">
        <f>IF(ISBLANK('Colar Pedido'!H91),"",'Colar Pedido'!H91)</f>
        <v/>
      </c>
      <c r="C93" s="16" t="str">
        <f>IF(ISBLANK('Colar Pedido'!I91),"",VALUE('Colar Pedido'!I91))</f>
        <v/>
      </c>
      <c r="D93" s="16" t="str">
        <f>IF(Imprimir!B93="", "", _xlfn.XLOOKUP(VALUE(Imprimir!B93),DB!A:A,DB!B:B,""))</f>
        <v/>
      </c>
      <c r="E93" s="16" t="str">
        <f>IF(ISBLANK('Colar Pedido'!C91),"",'Colar Pedido'!C91)</f>
        <v/>
      </c>
    </row>
    <row r="94" spans="1:5" x14ac:dyDescent="0.25">
      <c r="A94" s="16" t="str">
        <f>IF(ISBLANK('Colar Pedido'!E92), "", 'Colar Pedido'!E92)</f>
        <v/>
      </c>
      <c r="B94" s="16" t="str">
        <f>IF(ISBLANK('Colar Pedido'!H92),"",'Colar Pedido'!H92)</f>
        <v/>
      </c>
      <c r="C94" s="16" t="str">
        <f>IF(ISBLANK('Colar Pedido'!I92),"",VALUE('Colar Pedido'!I92))</f>
        <v/>
      </c>
      <c r="D94" s="16" t="str">
        <f>IF(Imprimir!B94="", "", _xlfn.XLOOKUP(VALUE(Imprimir!B94),DB!A:A,DB!B:B,""))</f>
        <v/>
      </c>
      <c r="E94" s="16" t="str">
        <f>IF(ISBLANK('Colar Pedido'!C92),"",'Colar Pedido'!C92)</f>
        <v/>
      </c>
    </row>
    <row r="95" spans="1:5" x14ac:dyDescent="0.25">
      <c r="A95" s="16" t="str">
        <f>IF(ISBLANK('Colar Pedido'!E93), "", 'Colar Pedido'!E93)</f>
        <v/>
      </c>
      <c r="B95" s="16" t="str">
        <f>IF(ISBLANK('Colar Pedido'!H93),"",'Colar Pedido'!H93)</f>
        <v/>
      </c>
      <c r="C95" s="16" t="str">
        <f>IF(ISBLANK('Colar Pedido'!I93),"",VALUE('Colar Pedido'!I93))</f>
        <v/>
      </c>
      <c r="D95" s="16" t="str">
        <f>IF(Imprimir!B95="", "", _xlfn.XLOOKUP(VALUE(Imprimir!B95),DB!A:A,DB!B:B,""))</f>
        <v/>
      </c>
      <c r="E95" s="16" t="str">
        <f>IF(ISBLANK('Colar Pedido'!C93),"",'Colar Pedido'!C93)</f>
        <v/>
      </c>
    </row>
    <row r="96" spans="1:5" x14ac:dyDescent="0.25">
      <c r="A96" s="16" t="str">
        <f>IF(ISBLANK('Colar Pedido'!E94), "", 'Colar Pedido'!E94)</f>
        <v/>
      </c>
      <c r="B96" s="16" t="str">
        <f>IF(ISBLANK('Colar Pedido'!H94),"",'Colar Pedido'!H94)</f>
        <v/>
      </c>
      <c r="C96" s="16" t="str">
        <f>IF(ISBLANK('Colar Pedido'!I94),"",VALUE('Colar Pedido'!I94))</f>
        <v/>
      </c>
      <c r="D96" s="16" t="str">
        <f>IF(Imprimir!B96="", "", _xlfn.XLOOKUP(VALUE(Imprimir!B96),DB!A:A,DB!B:B,""))</f>
        <v/>
      </c>
      <c r="E96" s="16" t="str">
        <f>IF(ISBLANK('Colar Pedido'!C94),"",'Colar Pedido'!C94)</f>
        <v/>
      </c>
    </row>
    <row r="97" spans="1:5" x14ac:dyDescent="0.25">
      <c r="A97" s="16" t="str">
        <f>IF(ISBLANK('Colar Pedido'!E95), "", 'Colar Pedido'!E95)</f>
        <v/>
      </c>
      <c r="B97" s="16" t="str">
        <f>IF(ISBLANK('Colar Pedido'!H95),"",'Colar Pedido'!H95)</f>
        <v/>
      </c>
      <c r="C97" s="16" t="str">
        <f>IF(ISBLANK('Colar Pedido'!I95),"",VALUE('Colar Pedido'!I95))</f>
        <v/>
      </c>
      <c r="D97" s="16" t="str">
        <f>IF(Imprimir!B97="", "", _xlfn.XLOOKUP(VALUE(Imprimir!B97),DB!A:A,DB!B:B,""))</f>
        <v/>
      </c>
      <c r="E97" s="16" t="str">
        <f>IF(ISBLANK('Colar Pedido'!C95),"",'Colar Pedido'!C95)</f>
        <v/>
      </c>
    </row>
    <row r="98" spans="1:5" x14ac:dyDescent="0.25">
      <c r="A98" s="16" t="str">
        <f>IF(ISBLANK('Colar Pedido'!E96), "", 'Colar Pedido'!E96)</f>
        <v/>
      </c>
      <c r="B98" s="16" t="str">
        <f>IF(ISBLANK('Colar Pedido'!H96),"",'Colar Pedido'!H96)</f>
        <v/>
      </c>
      <c r="C98" s="16" t="str">
        <f>IF(ISBLANK('Colar Pedido'!I96),"",VALUE('Colar Pedido'!I96))</f>
        <v/>
      </c>
      <c r="D98" s="16" t="str">
        <f>IF(Imprimir!B98="", "", _xlfn.XLOOKUP(VALUE(Imprimir!B98),DB!A:A,DB!B:B,""))</f>
        <v/>
      </c>
      <c r="E98" s="16" t="str">
        <f>IF(ISBLANK('Colar Pedido'!C96),"",'Colar Pedido'!C96)</f>
        <v/>
      </c>
    </row>
    <row r="99" spans="1:5" x14ac:dyDescent="0.25">
      <c r="A99" s="16" t="str">
        <f>IF(ISBLANK('Colar Pedido'!E97), "", 'Colar Pedido'!E97)</f>
        <v/>
      </c>
      <c r="B99" s="16" t="str">
        <f>IF(ISBLANK('Colar Pedido'!H97),"",'Colar Pedido'!H97)</f>
        <v/>
      </c>
      <c r="C99" s="16" t="str">
        <f>IF(ISBLANK('Colar Pedido'!I97),"",VALUE('Colar Pedido'!I97))</f>
        <v/>
      </c>
      <c r="D99" s="16" t="str">
        <f>IF(Imprimir!B99="", "", _xlfn.XLOOKUP(VALUE(Imprimir!B99),DB!A:A,DB!B:B,""))</f>
        <v/>
      </c>
      <c r="E99" s="16" t="str">
        <f>IF(ISBLANK('Colar Pedido'!C97),"",'Colar Pedido'!C97)</f>
        <v/>
      </c>
    </row>
    <row r="100" spans="1:5" x14ac:dyDescent="0.25">
      <c r="A100" s="16" t="str">
        <f>IF(ISBLANK('Colar Pedido'!E98), "", 'Colar Pedido'!E98)</f>
        <v/>
      </c>
      <c r="B100" s="16" t="str">
        <f>IF(ISBLANK('Colar Pedido'!H98),"",'Colar Pedido'!H98)</f>
        <v/>
      </c>
      <c r="C100" s="16" t="str">
        <f>IF(ISBLANK('Colar Pedido'!I98),"",VALUE('Colar Pedido'!I98))</f>
        <v/>
      </c>
      <c r="D100" s="16" t="str">
        <f>IF(Imprimir!B100="", "", _xlfn.XLOOKUP(VALUE(Imprimir!B100),DB!A:A,DB!B:B,""))</f>
        <v/>
      </c>
      <c r="E100" s="16" t="str">
        <f>IF(ISBLANK('Colar Pedido'!C98),"",'Colar Pedido'!C98)</f>
        <v/>
      </c>
    </row>
    <row r="101" spans="1:5" x14ac:dyDescent="0.25">
      <c r="A101" s="16" t="str">
        <f>IF(ISBLANK('Colar Pedido'!E99), "", 'Colar Pedido'!E99)</f>
        <v/>
      </c>
      <c r="B101" s="16" t="str">
        <f>IF(ISBLANK('Colar Pedido'!H99),"",'Colar Pedido'!H99)</f>
        <v/>
      </c>
      <c r="C101" s="16" t="str">
        <f>IF(ISBLANK('Colar Pedido'!I99),"",VALUE('Colar Pedido'!I99))</f>
        <v/>
      </c>
      <c r="D101" s="16" t="str">
        <f>IF(Imprimir!B101="", "", _xlfn.XLOOKUP(VALUE(Imprimir!B101),DB!A:A,DB!B:B,""))</f>
        <v/>
      </c>
      <c r="E101" s="16" t="str">
        <f>IF(ISBLANK('Colar Pedido'!C99),"",'Colar Pedido'!C99)</f>
        <v/>
      </c>
    </row>
  </sheetData>
  <conditionalFormatting sqref="A4:F101">
    <cfRule type="expression" dxfId="0" priority="1">
      <formula>$E4&lt;&gt;""</formula>
    </cfRule>
  </conditionalFormatting>
  <pageMargins left="0.7" right="0.7" top="0.75" bottom="0.75" header="0.3" footer="0.3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Colar Pedido</vt:lpstr>
      <vt:lpstr>Colar Acompanhamento</vt:lpstr>
      <vt:lpstr>DB</vt:lpstr>
      <vt:lpstr>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Wendel Santos - DSV</cp:lastModifiedBy>
  <cp:lastPrinted>2026-07-14T17:43:17Z</cp:lastPrinted>
  <dcterms:created xsi:type="dcterms:W3CDTF">2026-07-14T17:28:27Z</dcterms:created>
  <dcterms:modified xsi:type="dcterms:W3CDTF">2026-07-22T20:30:38Z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2026-07-14T17:43:53Z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0ea24379-b8f3-4d72-b4c5-08826d244f12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